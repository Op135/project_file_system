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F:\Python\project_file_system\data\"/>
    </mc:Choice>
  </mc:AlternateContent>
  <xr:revisionPtr revIDLastSave="0" documentId="13_ncr:1_{FA673299-DC17-4C14-88BB-911FE31EBF1B}" xr6:coauthVersionLast="47" xr6:coauthVersionMax="47" xr10:uidLastSave="{00000000-0000-0000-0000-000000000000}"/>
  <bookViews>
    <workbookView xWindow="15360" yWindow="0" windowWidth="15360" windowHeight="16680" xr2:uid="{00000000-000D-0000-FFFF-FFFF00000000}"/>
  </bookViews>
  <sheets>
    <sheet name="问题" sheetId="1" r:id="rId1"/>
    <sheet name="节点ID最大值记录"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82" i="1" l="1"/>
  <c r="C367" i="1"/>
  <c r="C364" i="1"/>
  <c r="C359" i="1"/>
  <c r="C175" i="1"/>
  <c r="C172" i="1"/>
  <c r="C20" i="1"/>
  <c r="C12" i="1"/>
  <c r="C10" i="1"/>
  <c r="C8" i="1"/>
  <c r="J7" i="1"/>
  <c r="J6" i="1"/>
  <c r="C6" i="1"/>
  <c r="C7" i="1"/>
  <c r="J5" i="1"/>
  <c r="C5" i="1"/>
  <c r="J8" i="1"/>
  <c r="F9" i="1"/>
  <c r="A3" i="1" a="1"/>
  <c r="A3" i="1" l="1"/>
  <c r="B3" i="1" s="1"/>
  <c r="J384" i="1" l="1"/>
  <c r="J382" i="1"/>
  <c r="J381" i="1"/>
  <c r="J379" i="1"/>
  <c r="J378" i="1"/>
  <c r="J376" i="1"/>
  <c r="J375" i="1"/>
  <c r="J373" i="1"/>
  <c r="J372" i="1"/>
  <c r="J356" i="1"/>
  <c r="J353" i="1"/>
  <c r="J342" i="1"/>
  <c r="J345" i="1" s="1"/>
  <c r="J223" i="1"/>
  <c r="J218" i="1"/>
  <c r="J213" i="1"/>
  <c r="J212" i="1"/>
  <c r="J306" i="1"/>
  <c r="J305" i="1"/>
  <c r="J304" i="1"/>
  <c r="J303" i="1"/>
  <c r="J302" i="1"/>
  <c r="J301" i="1"/>
  <c r="J300" i="1"/>
  <c r="J299" i="1"/>
  <c r="J296" i="1"/>
  <c r="J293" i="1"/>
  <c r="J295" i="1" s="1"/>
  <c r="J292" i="1"/>
  <c r="J291" i="1"/>
  <c r="J290" i="1"/>
  <c r="J268" i="1"/>
  <c r="J270" i="1" s="1"/>
  <c r="J265" i="1"/>
  <c r="J267" i="1" s="1"/>
  <c r="J238" i="1"/>
  <c r="J240" i="1" s="1"/>
  <c r="J201" i="1"/>
  <c r="J203" i="1" s="1"/>
  <c r="J198" i="1"/>
  <c r="J200" i="1" s="1"/>
  <c r="J193" i="1"/>
  <c r="J153" i="1"/>
  <c r="J83" i="1"/>
  <c r="J79" i="1"/>
  <c r="J71" i="1"/>
  <c r="J68" i="1"/>
  <c r="J54" i="1"/>
  <c r="J48" i="1"/>
  <c r="J50" i="1" s="1"/>
  <c r="J35" i="1"/>
  <c r="J36" i="1" s="1"/>
  <c r="J44" i="1"/>
  <c r="J47" i="1" s="1"/>
  <c r="J41" i="1"/>
  <c r="J43" i="1" s="1"/>
  <c r="J33" i="1"/>
  <c r="J27" i="1"/>
  <c r="J19" i="1"/>
  <c r="F298" i="1"/>
  <c r="F263" i="1"/>
  <c r="J264" i="1"/>
  <c r="F269" i="1"/>
  <c r="F266" i="1"/>
  <c r="F294" i="1"/>
  <c r="J20" i="1"/>
  <c r="F239" i="1"/>
  <c r="J237" i="1"/>
  <c r="F236" i="1"/>
  <c r="F202" i="1"/>
  <c r="F199" i="1"/>
  <c r="F42" i="1"/>
  <c r="J17" i="1"/>
  <c r="J21" i="1" s="1"/>
  <c r="F18" i="1"/>
  <c r="J57" i="1" l="1"/>
  <c r="J37" i="1"/>
  <c r="J38" i="1"/>
  <c r="J78" i="1"/>
  <c r="F77" i="1" l="1"/>
  <c r="F222" i="1"/>
  <c r="J10" i="1"/>
  <c r="F11" i="1"/>
  <c r="J367" i="1"/>
  <c r="J369" i="1" s="1"/>
  <c r="F368" i="1"/>
  <c r="J56" i="1"/>
  <c r="F55" i="1"/>
  <c r="J22" i="1"/>
  <c r="F24" i="1"/>
  <c r="F154" i="1"/>
  <c r="J364" i="1"/>
  <c r="J366" i="1" s="1"/>
  <c r="F365" i="1"/>
  <c r="F45" i="1"/>
  <c r="F46" i="1" s="1"/>
  <c r="J288" i="1"/>
  <c r="F289" i="1"/>
  <c r="F383" i="1" l="1"/>
  <c r="F380" i="1"/>
  <c r="F377" i="1"/>
  <c r="F374" i="1"/>
  <c r="F371" i="1"/>
  <c r="J319" i="1"/>
  <c r="J321" i="1" s="1"/>
  <c r="J325" i="1" s="1"/>
  <c r="J326" i="1" s="1"/>
  <c r="J328" i="1" s="1"/>
  <c r="J331" i="1" s="1"/>
  <c r="J333" i="1" s="1"/>
  <c r="J248" i="1"/>
  <c r="J250" i="1" s="1"/>
  <c r="J207" i="1"/>
  <c r="J209" i="1" s="1"/>
  <c r="F357" i="1"/>
  <c r="F354" i="1"/>
  <c r="F351" i="1"/>
  <c r="F339" i="1"/>
  <c r="F360" i="1"/>
  <c r="F361" i="1" s="1"/>
  <c r="F362" i="1" s="1"/>
  <c r="F363" i="1" s="1"/>
  <c r="F348" i="1"/>
  <c r="F343" i="1"/>
  <c r="F332" i="1"/>
  <c r="F329" i="1"/>
  <c r="F330" i="1" s="1"/>
  <c r="F327" i="1"/>
  <c r="F322" i="1"/>
  <c r="F323" i="1" s="1"/>
  <c r="F324" i="1" s="1"/>
  <c r="F320" i="1"/>
  <c r="F317" i="1"/>
  <c r="F310" i="1"/>
  <c r="F311" i="1" s="1"/>
  <c r="F312" i="1" s="1"/>
  <c r="F313" i="1" s="1"/>
  <c r="F314" i="1" s="1"/>
  <c r="F315" i="1" s="1"/>
  <c r="F308" i="1"/>
  <c r="F272" i="1"/>
  <c r="F273" i="1" s="1"/>
  <c r="F274" i="1" s="1"/>
  <c r="F275" i="1" s="1"/>
  <c r="F276" i="1" s="1"/>
  <c r="F277" i="1" s="1"/>
  <c r="F278" i="1" s="1"/>
  <c r="F279" i="1" s="1"/>
  <c r="F280" i="1" s="1"/>
  <c r="F281" i="1" s="1"/>
  <c r="F282" i="1" s="1"/>
  <c r="F260" i="1"/>
  <c r="F258" i="1"/>
  <c r="F249" i="1"/>
  <c r="F256" i="1"/>
  <c r="F254" i="1"/>
  <c r="F252" i="1"/>
  <c r="F244" i="1"/>
  <c r="F245" i="1" s="1"/>
  <c r="F246" i="1" s="1"/>
  <c r="F242" i="1"/>
  <c r="F219" i="1"/>
  <c r="F216" i="1"/>
  <c r="F214" i="1"/>
  <c r="F208" i="1"/>
  <c r="F205" i="1"/>
  <c r="F196" i="1"/>
  <c r="F194" i="1"/>
  <c r="F192" i="1"/>
  <c r="F190" i="1"/>
  <c r="F188" i="1"/>
  <c r="F185" i="1"/>
  <c r="F182" i="1"/>
  <c r="F179" i="1"/>
  <c r="F176" i="1"/>
  <c r="F173" i="1"/>
  <c r="F167" i="1"/>
  <c r="F168" i="1" s="1"/>
  <c r="F169" i="1" s="1"/>
  <c r="F170" i="1" s="1"/>
  <c r="F171" i="1" s="1"/>
  <c r="F156" i="1"/>
  <c r="F157" i="1" s="1"/>
  <c r="F158" i="1" s="1"/>
  <c r="F159" i="1" s="1"/>
  <c r="F160" i="1" s="1"/>
  <c r="F118" i="1"/>
  <c r="F119" i="1" s="1"/>
  <c r="F120" i="1" s="1"/>
  <c r="F121" i="1" s="1"/>
  <c r="F122" i="1" s="1"/>
  <c r="F123" i="1" s="1"/>
  <c r="F124" i="1" s="1"/>
  <c r="F125" i="1" s="1"/>
  <c r="F126" i="1" s="1"/>
  <c r="F127" i="1" s="1"/>
  <c r="F128" i="1" s="1"/>
  <c r="F129" i="1" s="1"/>
  <c r="F130" i="1" s="1"/>
  <c r="F131" i="1" s="1"/>
  <c r="F132" i="1" s="1"/>
  <c r="F133" i="1" s="1"/>
  <c r="F90" i="1"/>
  <c r="F91" i="1" s="1"/>
  <c r="F92" i="1" s="1"/>
  <c r="F93" i="1" s="1"/>
  <c r="F94" i="1" s="1"/>
  <c r="F95" i="1" s="1"/>
  <c r="F96" i="1" s="1"/>
  <c r="F97" i="1" s="1"/>
  <c r="F98" i="1" s="1"/>
  <c r="F99" i="1" s="1"/>
  <c r="F100" i="1" s="1"/>
  <c r="F101" i="1" s="1"/>
  <c r="F102" i="1" s="1"/>
  <c r="F152" i="1"/>
  <c r="F86" i="1"/>
  <c r="F84" i="1"/>
  <c r="F80" i="1"/>
  <c r="F66" i="1"/>
  <c r="F63" i="1"/>
  <c r="F64" i="1" s="1"/>
  <c r="F60" i="1"/>
  <c r="F61" i="1" s="1"/>
  <c r="F74" i="1"/>
  <c r="F72" i="1"/>
  <c r="F58" i="1"/>
  <c r="F52" i="1"/>
  <c r="F49" i="1"/>
  <c r="F69" i="1"/>
  <c r="F40" i="1"/>
  <c r="F34" i="1"/>
  <c r="F28" i="1"/>
  <c r="F29" i="1" s="1"/>
  <c r="F30" i="1" s="1"/>
  <c r="F31" i="1" s="1"/>
  <c r="F32" i="1" s="1"/>
  <c r="F26" i="1"/>
  <c r="F13" i="1"/>
  <c r="F14" i="1" s="1"/>
  <c r="F15" i="1" s="1"/>
  <c r="F16" i="1" s="1"/>
  <c r="F4" i="1"/>
  <c r="J358" i="1"/>
  <c r="J355" i="1"/>
  <c r="J350" i="1"/>
  <c r="J352" i="1" s="1"/>
  <c r="J340" i="1"/>
  <c r="J347" i="1"/>
  <c r="J349" i="1" s="1"/>
  <c r="J344" i="1"/>
  <c r="J259" i="1"/>
  <c r="J261" i="1" s="1"/>
  <c r="J255" i="1"/>
  <c r="J253" i="1"/>
  <c r="J247" i="1"/>
  <c r="J243" i="1"/>
  <c r="J220" i="1"/>
  <c r="J215" i="1"/>
  <c r="J217" i="1" s="1"/>
  <c r="J204" i="1"/>
  <c r="J206" i="1" s="1"/>
  <c r="J197" i="1"/>
  <c r="J191" i="1"/>
  <c r="J189" i="1"/>
  <c r="J186" i="1"/>
  <c r="J181" i="1"/>
  <c r="J183" i="1" s="1"/>
  <c r="J178" i="1"/>
  <c r="J180" i="1" s="1"/>
  <c r="J175" i="1"/>
  <c r="J177" i="1" s="1"/>
  <c r="J174" i="1"/>
  <c r="J166" i="1"/>
  <c r="J155" i="1"/>
  <c r="J161" i="1" s="1"/>
  <c r="J89" i="1"/>
  <c r="J113" i="1" s="1"/>
  <c r="J88" i="1"/>
  <c r="J87" i="1"/>
  <c r="J117" i="1" s="1"/>
  <c r="J85" i="1"/>
  <c r="J82" i="1"/>
  <c r="J81" i="1"/>
  <c r="J73" i="1"/>
  <c r="J75" i="1" s="1"/>
  <c r="J70" i="1"/>
  <c r="J12" i="1"/>
  <c r="J309" i="1" l="1"/>
  <c r="J334" i="1" s="1"/>
  <c r="F283" i="1"/>
  <c r="F284" i="1" s="1"/>
  <c r="F285" i="1" s="1"/>
  <c r="F286" i="1" s="1"/>
  <c r="F287" i="1" s="1"/>
  <c r="J107" i="1"/>
  <c r="J110" i="1"/>
  <c r="J163" i="1"/>
  <c r="J164" i="1"/>
  <c r="J116" i="1"/>
  <c r="J62" i="1"/>
  <c r="J65" i="1" s="1"/>
  <c r="J67" i="1" s="1"/>
  <c r="J105" i="1"/>
  <c r="J59" i="1"/>
  <c r="J106" i="1"/>
  <c r="J162" i="1"/>
  <c r="J108" i="1"/>
  <c r="J109" i="1"/>
  <c r="J114" i="1"/>
  <c r="J341" i="1"/>
  <c r="J115" i="1"/>
  <c r="J165" i="1"/>
  <c r="J147" i="1"/>
  <c r="J138" i="1"/>
  <c r="J149" i="1"/>
  <c r="J140" i="1"/>
  <c r="J146" i="1"/>
  <c r="J137" i="1"/>
  <c r="J144" i="1"/>
  <c r="J139" i="1"/>
  <c r="J145" i="1"/>
  <c r="J136" i="1"/>
  <c r="J143" i="1"/>
  <c r="J135" i="1"/>
  <c r="J150" i="1"/>
  <c r="J142" i="1"/>
  <c r="J134" i="1"/>
  <c r="J141" i="1"/>
  <c r="J148" i="1"/>
  <c r="J111" i="1"/>
  <c r="J51" i="1"/>
  <c r="J53" i="1" s="1"/>
  <c r="J103" i="1"/>
  <c r="J112" i="1"/>
  <c r="J104" i="1"/>
  <c r="B2" i="1"/>
  <c r="A4" i="1" a="1"/>
  <c r="J337" i="1" l="1"/>
  <c r="J316" i="1"/>
  <c r="J318" i="1" s="1"/>
  <c r="A4" i="1"/>
  <c r="B4" i="1" s="1"/>
  <c r="A5" i="1" a="1"/>
  <c r="A5" i="1" l="1"/>
  <c r="J233" i="1"/>
  <c r="J226" i="1"/>
  <c r="J228" i="1" s="1"/>
  <c r="A6" i="1" a="1"/>
  <c r="N7" i="1" l="1"/>
  <c r="B5" i="1"/>
  <c r="A6" i="1"/>
  <c r="N6" i="1"/>
  <c r="J229" i="1"/>
  <c r="J234" i="1" s="1"/>
  <c r="A7" i="1" a="1"/>
  <c r="O7" i="1" l="1"/>
  <c r="B6" i="1"/>
  <c r="A7" i="1"/>
  <c r="B7" i="1" s="1"/>
  <c r="A8" i="1" a="1"/>
  <c r="A8" i="1" l="1"/>
  <c r="A9" i="1" a="1"/>
  <c r="B8" i="1" l="1"/>
  <c r="A9" i="1"/>
  <c r="B9" i="1" s="1"/>
  <c r="A10" i="1" a="1"/>
  <c r="A10" i="1" l="1"/>
  <c r="B10" i="1" s="1"/>
  <c r="A11" i="1" a="1"/>
  <c r="A11" i="1" l="1"/>
  <c r="B11" i="1" s="1"/>
  <c r="A12" i="1" a="1"/>
  <c r="A12" i="1" l="1"/>
  <c r="C201" i="1" s="1"/>
  <c r="A13" i="1" a="1"/>
  <c r="C17" i="1" l="1"/>
  <c r="C22" i="1"/>
  <c r="C76" i="1"/>
  <c r="C181" i="1"/>
  <c r="B12" i="1"/>
  <c r="C191" i="1"/>
  <c r="C370" i="1"/>
  <c r="C379" i="1"/>
  <c r="C221" i="1"/>
  <c r="A13" i="1"/>
  <c r="B13" i="1" s="1"/>
  <c r="C251" i="1"/>
  <c r="C215" i="1"/>
  <c r="C350" i="1"/>
  <c r="C240" i="1"/>
  <c r="C212" i="1"/>
  <c r="C307" i="1"/>
  <c r="C218" i="1"/>
  <c r="C373" i="1"/>
  <c r="C83" i="1"/>
  <c r="C85" i="1"/>
  <c r="C271" i="1"/>
  <c r="C259" i="1"/>
  <c r="C79" i="1"/>
  <c r="C184" i="1"/>
  <c r="C195" i="1"/>
  <c r="C213" i="1"/>
  <c r="C347" i="1"/>
  <c r="C262" i="1"/>
  <c r="C257" i="1"/>
  <c r="C189" i="1"/>
  <c r="C193" i="1"/>
  <c r="C238" i="1"/>
  <c r="C338" i="1"/>
  <c r="C376" i="1"/>
  <c r="C342" i="1"/>
  <c r="C248" i="1"/>
  <c r="C207" i="1"/>
  <c r="C265" i="1"/>
  <c r="C178" i="1"/>
  <c r="C356" i="1"/>
  <c r="C187" i="1"/>
  <c r="C319" i="1"/>
  <c r="C210" i="1"/>
  <c r="C334" i="1"/>
  <c r="C204" i="1"/>
  <c r="C241" i="1"/>
  <c r="C25" i="1"/>
  <c r="A14" i="1" a="1"/>
  <c r="A14" i="1" l="1"/>
  <c r="A15" i="1" a="1"/>
  <c r="C19" i="1" l="1"/>
  <c r="B14" i="1"/>
  <c r="A15" i="1"/>
  <c r="B15" i="1" s="1"/>
  <c r="A16" i="1" a="1"/>
  <c r="A16" i="1" l="1"/>
  <c r="B16" i="1" s="1"/>
  <c r="C198" i="1"/>
  <c r="C268" i="1"/>
  <c r="C235" i="1"/>
  <c r="A17" i="1" a="1"/>
  <c r="A17" i="1" l="1"/>
  <c r="A18" i="1" a="1"/>
  <c r="B17" i="1" l="1"/>
  <c r="C21" i="1"/>
  <c r="A18" i="1"/>
  <c r="A19" i="1" a="1"/>
  <c r="B18" i="1" l="1"/>
  <c r="A19" i="1"/>
  <c r="B19" i="1" s="1"/>
  <c r="A20" i="1" a="1"/>
  <c r="A20" i="1" l="1"/>
  <c r="B20" i="1" s="1"/>
  <c r="A21" i="1" a="1"/>
  <c r="A21" i="1" l="1"/>
  <c r="B21" i="1" s="1"/>
  <c r="A22" i="1" a="1"/>
  <c r="A22" i="1" l="1"/>
  <c r="B22" i="1" s="1"/>
  <c r="A23" i="1" a="1"/>
  <c r="A23" i="1" l="1"/>
  <c r="B23" i="1" s="1"/>
  <c r="A24" i="1" a="1"/>
  <c r="A24" i="1" l="1"/>
  <c r="B24" i="1" s="1"/>
  <c r="A25" i="1" a="1"/>
  <c r="A25" i="1" l="1"/>
  <c r="A26" i="1" a="1"/>
  <c r="C33" i="1" l="1"/>
  <c r="B25" i="1"/>
  <c r="C37" i="1"/>
  <c r="C38" i="1"/>
  <c r="C68" i="1"/>
  <c r="A26" i="1"/>
  <c r="B26" i="1" s="1"/>
  <c r="C27" i="1"/>
  <c r="A27" i="1" a="1"/>
  <c r="A27" i="1" l="1"/>
  <c r="B27" i="1" s="1"/>
  <c r="A28" i="1" a="1"/>
  <c r="C39" i="1" l="1"/>
  <c r="A28" i="1"/>
  <c r="B28" i="1" s="1"/>
  <c r="A29" i="1" a="1"/>
  <c r="A29" i="1" l="1"/>
  <c r="B29" i="1" s="1"/>
  <c r="A30" i="1" a="1"/>
  <c r="A30" i="1" l="1"/>
  <c r="B30" i="1" s="1"/>
  <c r="A31" i="1" a="1"/>
  <c r="A31" i="1" l="1"/>
  <c r="B31" i="1" s="1"/>
  <c r="A32" i="1" a="1"/>
  <c r="A32" i="1" l="1"/>
  <c r="B32" i="1" s="1"/>
  <c r="A33" i="1" a="1"/>
  <c r="A33" i="1" l="1"/>
  <c r="B33" i="1" s="1"/>
  <c r="A34" i="1" a="1"/>
  <c r="A34" i="1" l="1"/>
  <c r="B34" i="1" s="1"/>
  <c r="C35" i="1"/>
  <c r="C36" i="1"/>
  <c r="A35" i="1" a="1"/>
  <c r="A35" i="1" l="1"/>
  <c r="B35" i="1" s="1"/>
  <c r="A36" i="1" a="1"/>
  <c r="A36" i="1" l="1"/>
  <c r="B36" i="1" s="1"/>
  <c r="A37" i="1" a="1"/>
  <c r="A37" i="1" l="1"/>
  <c r="B37" i="1" s="1"/>
  <c r="A38" i="1" a="1"/>
  <c r="A38" i="1" l="1"/>
  <c r="B38" i="1" s="1"/>
  <c r="A39" i="1" a="1"/>
  <c r="A39" i="1" l="1"/>
  <c r="C44" i="1" s="1"/>
  <c r="A40" i="1" a="1"/>
  <c r="C59" i="1" l="1"/>
  <c r="B39" i="1"/>
  <c r="C73" i="1"/>
  <c r="C41" i="1"/>
  <c r="A40" i="1"/>
  <c r="B40" i="1" s="1"/>
  <c r="C71" i="1"/>
  <c r="A41" i="1" a="1"/>
  <c r="A41" i="1" l="1"/>
  <c r="B41" i="1" s="1"/>
  <c r="A42" i="1" a="1"/>
  <c r="A42" i="1" l="1"/>
  <c r="B42" i="1" s="1"/>
  <c r="C51" i="1"/>
  <c r="C62" i="1"/>
  <c r="C48" i="1"/>
  <c r="C54" i="1"/>
  <c r="C43" i="1"/>
  <c r="A43" i="1" a="1"/>
  <c r="A43" i="1" l="1"/>
  <c r="B43" i="1" s="1"/>
  <c r="A44" i="1" a="1"/>
  <c r="A44" i="1" l="1"/>
  <c r="B44" i="1" s="1"/>
  <c r="A45" i="1" a="1"/>
  <c r="A45" i="1" l="1"/>
  <c r="C57" i="1"/>
  <c r="A46" i="1" a="1"/>
  <c r="C47" i="1" l="1"/>
  <c r="B45" i="1"/>
  <c r="A46" i="1"/>
  <c r="B46" i="1" s="1"/>
  <c r="A47" i="1" a="1"/>
  <c r="A47" i="1" l="1"/>
  <c r="B47" i="1" s="1"/>
  <c r="A48" i="1" a="1"/>
  <c r="A48" i="1" l="1"/>
  <c r="B48" i="1" s="1"/>
  <c r="A49" i="1" a="1"/>
  <c r="C50" i="1" l="1"/>
  <c r="A49" i="1"/>
  <c r="B49" i="1" s="1"/>
  <c r="A50" i="1" a="1"/>
  <c r="A50" i="1" l="1"/>
  <c r="B50" i="1" s="1"/>
  <c r="A51" i="1" a="1"/>
  <c r="A51" i="1" l="1"/>
  <c r="B51" i="1" s="1"/>
  <c r="A52" i="1" a="1"/>
  <c r="A52" i="1" l="1"/>
  <c r="B52" i="1" s="1"/>
  <c r="C53" i="1"/>
  <c r="A53" i="1" a="1"/>
  <c r="A53" i="1" l="1"/>
  <c r="B53" i="1" s="1"/>
  <c r="A54" i="1" a="1"/>
  <c r="A54" i="1" l="1"/>
  <c r="B54" i="1" s="1"/>
  <c r="A55" i="1" a="1"/>
  <c r="A55" i="1" l="1"/>
  <c r="B55" i="1" s="1"/>
  <c r="C56" i="1"/>
  <c r="A56" i="1" a="1"/>
  <c r="A56" i="1" l="1"/>
  <c r="B56" i="1" s="1"/>
  <c r="A57" i="1" a="1"/>
  <c r="A57" i="1" l="1"/>
  <c r="B57" i="1" s="1"/>
  <c r="A58" i="1" a="1"/>
  <c r="A58" i="1" l="1"/>
  <c r="B58" i="1" s="1"/>
  <c r="A59" i="1" a="1"/>
  <c r="A59" i="1" l="1"/>
  <c r="B59" i="1" s="1"/>
  <c r="A60" i="1" a="1"/>
  <c r="A60" i="1" l="1"/>
  <c r="B60" i="1" s="1"/>
  <c r="A61" i="1" a="1"/>
  <c r="A61" i="1" l="1"/>
  <c r="B61" i="1" s="1"/>
  <c r="A62" i="1" a="1"/>
  <c r="A62" i="1" l="1"/>
  <c r="B62" i="1" s="1"/>
  <c r="A63" i="1" a="1"/>
  <c r="C65" i="1" l="1"/>
  <c r="A63" i="1"/>
  <c r="B63" i="1" s="1"/>
  <c r="A64" i="1" a="1"/>
  <c r="A64" i="1" l="1"/>
  <c r="B64" i="1" s="1"/>
  <c r="A65" i="1" a="1"/>
  <c r="A65" i="1" l="1"/>
  <c r="B65" i="1" s="1"/>
  <c r="A66" i="1" a="1"/>
  <c r="A66" i="1" l="1"/>
  <c r="B66" i="1" s="1"/>
  <c r="C67" i="1"/>
  <c r="A67" i="1" a="1"/>
  <c r="A67" i="1" l="1"/>
  <c r="B67" i="1" s="1"/>
  <c r="A68" i="1" a="1"/>
  <c r="A68" i="1" l="1"/>
  <c r="B68" i="1" s="1"/>
  <c r="A69" i="1" a="1"/>
  <c r="C70" i="1" l="1"/>
  <c r="A69" i="1"/>
  <c r="B69" i="1" s="1"/>
  <c r="A70" i="1" a="1"/>
  <c r="A70" i="1" l="1"/>
  <c r="B70" i="1" s="1"/>
  <c r="A71" i="1" a="1"/>
  <c r="A71" i="1" l="1"/>
  <c r="B71" i="1" s="1"/>
  <c r="A72" i="1" a="1"/>
  <c r="A72" i="1" l="1"/>
  <c r="B72" i="1" s="1"/>
  <c r="A73" i="1" a="1"/>
  <c r="A73" i="1" l="1"/>
  <c r="B73" i="1" s="1"/>
  <c r="A74" i="1" a="1"/>
  <c r="C75" i="1" l="1"/>
  <c r="A74" i="1"/>
  <c r="B74" i="1" s="1"/>
  <c r="A75" i="1" a="1"/>
  <c r="A75" i="1" l="1"/>
  <c r="B75" i="1" s="1"/>
  <c r="A76" i="1" a="1"/>
  <c r="A76" i="1" l="1"/>
  <c r="B76" i="1" s="1"/>
  <c r="A77" i="1" a="1"/>
  <c r="A77" i="1" l="1"/>
  <c r="B77" i="1" s="1"/>
  <c r="C78" i="1"/>
  <c r="A78" i="1" a="1"/>
  <c r="A78" i="1" l="1"/>
  <c r="B78" i="1" s="1"/>
  <c r="A79" i="1" a="1"/>
  <c r="A79" i="1" l="1"/>
  <c r="A80" i="1" a="1"/>
  <c r="C81" i="1" l="1"/>
  <c r="B79" i="1"/>
  <c r="A80" i="1"/>
  <c r="C89" i="1"/>
  <c r="A81" i="1" a="1"/>
  <c r="C82" i="1" l="1"/>
  <c r="B80" i="1"/>
  <c r="A81" i="1"/>
  <c r="B81" i="1" s="1"/>
  <c r="N113" i="1"/>
  <c r="N114" i="1"/>
  <c r="A82" i="1" a="1"/>
  <c r="N82" i="1" l="1"/>
  <c r="N103" i="1"/>
  <c r="A82" i="1"/>
  <c r="N108" i="1"/>
  <c r="N109" i="1"/>
  <c r="N115" i="1"/>
  <c r="N110" i="1"/>
  <c r="N107" i="1"/>
  <c r="N105" i="1"/>
  <c r="N104" i="1"/>
  <c r="N111" i="1"/>
  <c r="N116" i="1"/>
  <c r="N112" i="1"/>
  <c r="N106" i="1"/>
  <c r="A83" i="1" a="1"/>
  <c r="O116" i="1" l="1"/>
  <c r="B82" i="1"/>
  <c r="O110" i="1"/>
  <c r="O104" i="1"/>
  <c r="O103" i="1"/>
  <c r="A83" i="1"/>
  <c r="B83" i="1" s="1"/>
  <c r="O108" i="1"/>
  <c r="O107" i="1"/>
  <c r="O106" i="1"/>
  <c r="O113" i="1"/>
  <c r="O115" i="1"/>
  <c r="O114" i="1"/>
  <c r="O111" i="1"/>
  <c r="O105" i="1"/>
  <c r="O109" i="1"/>
  <c r="O112" i="1"/>
  <c r="A84" i="1" a="1"/>
  <c r="A84" i="1" l="1"/>
  <c r="B84" i="1" s="1"/>
  <c r="C117" i="1"/>
  <c r="C151" i="1"/>
  <c r="A85" i="1" a="1"/>
  <c r="A85" i="1" l="1"/>
  <c r="B85" i="1" s="1"/>
  <c r="A86" i="1" a="1"/>
  <c r="C88" i="1" l="1"/>
  <c r="C87" i="1"/>
  <c r="A86" i="1"/>
  <c r="B86" i="1" s="1"/>
  <c r="A87" i="1" a="1"/>
  <c r="A87" i="1" l="1"/>
  <c r="B87" i="1" s="1"/>
  <c r="A88" i="1" a="1"/>
  <c r="N143" i="1" l="1"/>
  <c r="N136" i="1"/>
  <c r="N161" i="1"/>
  <c r="N147" i="1"/>
  <c r="N137" i="1"/>
  <c r="N135" i="1"/>
  <c r="N142" i="1"/>
  <c r="N150" i="1"/>
  <c r="N139" i="1"/>
  <c r="N88" i="1"/>
  <c r="N149" i="1"/>
  <c r="N134" i="1"/>
  <c r="N148" i="1"/>
  <c r="N140" i="1"/>
  <c r="N138" i="1"/>
  <c r="N141" i="1"/>
  <c r="N144" i="1"/>
  <c r="N163" i="1"/>
  <c r="N162" i="1"/>
  <c r="A88" i="1"/>
  <c r="O139" i="1" s="1"/>
  <c r="N146" i="1"/>
  <c r="N164" i="1"/>
  <c r="N145" i="1"/>
  <c r="N165" i="1"/>
  <c r="A89" i="1" a="1"/>
  <c r="O147" i="1" l="1"/>
  <c r="O134" i="1"/>
  <c r="O135" i="1"/>
  <c r="B88" i="1"/>
  <c r="O140" i="1"/>
  <c r="O163" i="1"/>
  <c r="O141" i="1"/>
  <c r="O165" i="1"/>
  <c r="O161" i="1"/>
  <c r="O164" i="1"/>
  <c r="O138" i="1"/>
  <c r="O148" i="1"/>
  <c r="O142" i="1"/>
  <c r="O144" i="1"/>
  <c r="O143" i="1"/>
  <c r="O149" i="1"/>
  <c r="O162" i="1"/>
  <c r="O137" i="1"/>
  <c r="O150" i="1"/>
  <c r="O145" i="1"/>
  <c r="O136" i="1"/>
  <c r="A89" i="1"/>
  <c r="B89" i="1" s="1"/>
  <c r="O146" i="1"/>
  <c r="C115" i="1"/>
  <c r="A90" i="1" a="1"/>
  <c r="A90" i="1" l="1"/>
  <c r="C104" i="1"/>
  <c r="C116" i="1"/>
  <c r="C113" i="1"/>
  <c r="C112" i="1"/>
  <c r="C103" i="1"/>
  <c r="C107" i="1"/>
  <c r="C108" i="1"/>
  <c r="C109" i="1"/>
  <c r="C111" i="1"/>
  <c r="C106" i="1"/>
  <c r="C114" i="1"/>
  <c r="C105" i="1"/>
  <c r="A91" i="1" a="1"/>
  <c r="C110" i="1" l="1"/>
  <c r="B90" i="1"/>
  <c r="A91" i="1"/>
  <c r="B91" i="1" s="1"/>
  <c r="A92" i="1" a="1"/>
  <c r="A92" i="1" l="1"/>
  <c r="B92" i="1" s="1"/>
  <c r="A93" i="1" a="1"/>
  <c r="A93" i="1" l="1"/>
  <c r="B93" i="1" s="1"/>
  <c r="A94" i="1" a="1"/>
  <c r="A94" i="1" l="1"/>
  <c r="B94" i="1" s="1"/>
  <c r="A95" i="1" a="1"/>
  <c r="A95" i="1" l="1"/>
  <c r="B95" i="1" s="1"/>
  <c r="A96" i="1" a="1"/>
  <c r="A96" i="1" l="1"/>
  <c r="B96" i="1" s="1"/>
  <c r="A97" i="1" a="1"/>
  <c r="A97" i="1" l="1"/>
  <c r="B97" i="1" s="1"/>
  <c r="A98" i="1" a="1"/>
  <c r="A98" i="1" l="1"/>
  <c r="B98" i="1" s="1"/>
  <c r="A99" i="1" a="1"/>
  <c r="A99" i="1" l="1"/>
  <c r="B99" i="1" s="1"/>
  <c r="A100" i="1" a="1"/>
  <c r="A100" i="1" l="1"/>
  <c r="B100" i="1" s="1"/>
  <c r="A101" i="1" a="1"/>
  <c r="A101" i="1" l="1"/>
  <c r="B101" i="1" s="1"/>
  <c r="A102" i="1" a="1"/>
  <c r="A102" i="1" l="1"/>
  <c r="B102" i="1" s="1"/>
  <c r="A103" i="1" a="1"/>
  <c r="A103" i="1" l="1"/>
  <c r="B103" i="1" s="1"/>
  <c r="A104" i="1" a="1"/>
  <c r="A104" i="1" l="1"/>
  <c r="B104" i="1" s="1"/>
  <c r="A105" i="1" a="1"/>
  <c r="A105" i="1" l="1"/>
  <c r="B105" i="1" s="1"/>
  <c r="A106" i="1" a="1"/>
  <c r="A106" i="1" l="1"/>
  <c r="B106" i="1" s="1"/>
  <c r="A107" i="1" a="1"/>
  <c r="A107" i="1" l="1"/>
  <c r="B107" i="1" s="1"/>
  <c r="A108" i="1" a="1"/>
  <c r="A108" i="1" l="1"/>
  <c r="B108" i="1" s="1"/>
  <c r="A109" i="1" a="1"/>
  <c r="A109" i="1" l="1"/>
  <c r="B109" i="1" s="1"/>
  <c r="A110" i="1" a="1"/>
  <c r="A110" i="1" l="1"/>
  <c r="B110" i="1" s="1"/>
  <c r="A111" i="1" a="1"/>
  <c r="A111" i="1" l="1"/>
  <c r="B111" i="1" s="1"/>
  <c r="A112" i="1" a="1"/>
  <c r="A112" i="1" l="1"/>
  <c r="B112" i="1" s="1"/>
  <c r="A113" i="1" a="1"/>
  <c r="A113" i="1" l="1"/>
  <c r="B113" i="1" s="1"/>
  <c r="A114" i="1" a="1"/>
  <c r="A114" i="1" l="1"/>
  <c r="B114" i="1" s="1"/>
  <c r="A115" i="1" a="1"/>
  <c r="A115" i="1" l="1"/>
  <c r="B115" i="1" s="1"/>
  <c r="A116" i="1" a="1"/>
  <c r="A116" i="1" l="1"/>
  <c r="B116" i="1" s="1"/>
  <c r="A117" i="1" a="1"/>
  <c r="A117" i="1" l="1"/>
  <c r="A118" i="1" a="1"/>
  <c r="C138" i="1" l="1"/>
  <c r="B117" i="1"/>
  <c r="A118" i="1"/>
  <c r="B118" i="1" s="1"/>
  <c r="C146" i="1"/>
  <c r="C145" i="1"/>
  <c r="C136" i="1"/>
  <c r="C140" i="1"/>
  <c r="C148" i="1"/>
  <c r="C135" i="1"/>
  <c r="C149" i="1"/>
  <c r="C147" i="1"/>
  <c r="C134" i="1"/>
  <c r="C141" i="1"/>
  <c r="C142" i="1"/>
  <c r="C137" i="1"/>
  <c r="C150" i="1"/>
  <c r="C139" i="1"/>
  <c r="C143" i="1"/>
  <c r="A119" i="1" a="1"/>
  <c r="A119" i="1" l="1"/>
  <c r="B119" i="1" s="1"/>
  <c r="A120" i="1" a="1"/>
  <c r="A120" i="1" l="1"/>
  <c r="B120" i="1" s="1"/>
  <c r="A121" i="1" a="1"/>
  <c r="A121" i="1" l="1"/>
  <c r="B121" i="1" s="1"/>
  <c r="C144" i="1"/>
  <c r="A122" i="1" a="1"/>
  <c r="A122" i="1" l="1"/>
  <c r="B122" i="1" s="1"/>
  <c r="A123" i="1" a="1"/>
  <c r="A123" i="1" l="1"/>
  <c r="B123" i="1" s="1"/>
  <c r="A124" i="1" a="1"/>
  <c r="A124" i="1" l="1"/>
  <c r="B124" i="1" s="1"/>
  <c r="A125" i="1" a="1"/>
  <c r="A125" i="1" l="1"/>
  <c r="B125" i="1" s="1"/>
  <c r="A126" i="1" a="1"/>
  <c r="A126" i="1" l="1"/>
  <c r="B126" i="1" s="1"/>
  <c r="A127" i="1" a="1"/>
  <c r="A127" i="1" l="1"/>
  <c r="B127" i="1" s="1"/>
  <c r="A128" i="1" a="1"/>
  <c r="A128" i="1" l="1"/>
  <c r="B128" i="1" s="1"/>
  <c r="A129" i="1" a="1"/>
  <c r="A129" i="1" l="1"/>
  <c r="B129" i="1" s="1"/>
  <c r="A130" i="1" a="1"/>
  <c r="A130" i="1" l="1"/>
  <c r="B130" i="1" s="1"/>
  <c r="A131" i="1" a="1"/>
  <c r="A131" i="1" l="1"/>
  <c r="B131" i="1" s="1"/>
  <c r="A132" i="1" a="1"/>
  <c r="A132" i="1" l="1"/>
  <c r="B132" i="1" s="1"/>
  <c r="A133" i="1" a="1"/>
  <c r="A133" i="1" l="1"/>
  <c r="B133" i="1" s="1"/>
  <c r="A134" i="1" a="1"/>
  <c r="A134" i="1" l="1"/>
  <c r="B134" i="1" s="1"/>
  <c r="A135" i="1" a="1"/>
  <c r="A135" i="1" l="1"/>
  <c r="B135" i="1" s="1"/>
  <c r="A136" i="1" a="1"/>
  <c r="A136" i="1" l="1"/>
  <c r="B136" i="1" s="1"/>
  <c r="A137" i="1" a="1"/>
  <c r="A137" i="1" l="1"/>
  <c r="B137" i="1" s="1"/>
  <c r="A138" i="1" a="1"/>
  <c r="A138" i="1" l="1"/>
  <c r="B138" i="1" s="1"/>
  <c r="A139" i="1" a="1"/>
  <c r="A139" i="1" l="1"/>
  <c r="B139" i="1" s="1"/>
  <c r="A140" i="1" a="1"/>
  <c r="A140" i="1" l="1"/>
  <c r="B140" i="1" s="1"/>
  <c r="A141" i="1" a="1"/>
  <c r="A141" i="1" l="1"/>
  <c r="B141" i="1" s="1"/>
  <c r="A142" i="1" a="1"/>
  <c r="A142" i="1" l="1"/>
  <c r="B142" i="1" s="1"/>
  <c r="A143" i="1" a="1"/>
  <c r="A143" i="1" l="1"/>
  <c r="B143" i="1" s="1"/>
  <c r="A144" i="1" a="1"/>
  <c r="A144" i="1" l="1"/>
  <c r="B144" i="1" s="1"/>
  <c r="A145" i="1" a="1"/>
  <c r="A145" i="1" l="1"/>
  <c r="B145" i="1" s="1"/>
  <c r="A146" i="1" a="1"/>
  <c r="A146" i="1" l="1"/>
  <c r="B146" i="1" s="1"/>
  <c r="A147" i="1" a="1"/>
  <c r="A147" i="1" l="1"/>
  <c r="B147" i="1" s="1"/>
  <c r="A148" i="1" a="1"/>
  <c r="A148" i="1" l="1"/>
  <c r="B148" i="1" s="1"/>
  <c r="A149" i="1" a="1"/>
  <c r="A149" i="1" l="1"/>
  <c r="B149" i="1" s="1"/>
  <c r="A150" i="1" a="1"/>
  <c r="A150" i="1" l="1"/>
  <c r="B150" i="1" s="1"/>
  <c r="A151" i="1" a="1"/>
  <c r="A151" i="1" l="1"/>
  <c r="B151" i="1" s="1"/>
  <c r="A152" i="1" a="1"/>
  <c r="C155" i="1" l="1"/>
  <c r="C153" i="1"/>
  <c r="A152" i="1"/>
  <c r="B152" i="1" s="1"/>
  <c r="C166" i="1"/>
  <c r="A153" i="1" a="1"/>
  <c r="A153" i="1" l="1"/>
  <c r="B153" i="1" s="1"/>
  <c r="A154" i="1" a="1"/>
  <c r="A154" i="1" l="1"/>
  <c r="B154" i="1" s="1"/>
  <c r="A155" i="1" a="1"/>
  <c r="A155" i="1" l="1"/>
  <c r="A156" i="1" a="1"/>
  <c r="C165" i="1" l="1"/>
  <c r="B155" i="1"/>
  <c r="C164" i="1"/>
  <c r="C163" i="1"/>
  <c r="C162" i="1"/>
  <c r="A156" i="1"/>
  <c r="B156" i="1" s="1"/>
  <c r="C161" i="1"/>
  <c r="A157" i="1" a="1"/>
  <c r="A157" i="1" l="1"/>
  <c r="B157" i="1" s="1"/>
  <c r="A158" i="1" a="1"/>
  <c r="A158" i="1" l="1"/>
  <c r="B158" i="1" s="1"/>
  <c r="A159" i="1" a="1"/>
  <c r="A159" i="1" l="1"/>
  <c r="B159" i="1" s="1"/>
  <c r="A160" i="1" a="1"/>
  <c r="A160" i="1" l="1"/>
  <c r="B160" i="1" s="1"/>
  <c r="A161" i="1" a="1"/>
  <c r="A161" i="1" l="1"/>
  <c r="B161" i="1" s="1"/>
  <c r="A162" i="1" a="1"/>
  <c r="A162" i="1" l="1"/>
  <c r="B162" i="1" s="1"/>
  <c r="A163" i="1" a="1"/>
  <c r="A163" i="1" l="1"/>
  <c r="B163" i="1" s="1"/>
  <c r="A164" i="1" a="1"/>
  <c r="A164" i="1" l="1"/>
  <c r="B164" i="1" s="1"/>
  <c r="A165" i="1" a="1"/>
  <c r="A165" i="1" l="1"/>
  <c r="B165" i="1" s="1"/>
  <c r="A166" i="1" a="1"/>
  <c r="A166" i="1" l="1"/>
  <c r="B166" i="1" s="1"/>
  <c r="A167" i="1" a="1"/>
  <c r="A167" i="1" l="1"/>
  <c r="B167" i="1" s="1"/>
  <c r="A168" i="1" a="1"/>
  <c r="A168" i="1" l="1"/>
  <c r="B168" i="1" s="1"/>
  <c r="A169" i="1" a="1"/>
  <c r="A169" i="1" l="1"/>
  <c r="B169" i="1" s="1"/>
  <c r="A170" i="1" a="1"/>
  <c r="A170" i="1" l="1"/>
  <c r="B170" i="1" s="1"/>
  <c r="A171" i="1" a="1"/>
  <c r="A171" i="1" l="1"/>
  <c r="B171" i="1" s="1"/>
  <c r="A172" i="1" a="1"/>
  <c r="A172" i="1" l="1"/>
  <c r="B172" i="1" s="1"/>
  <c r="A173" i="1" a="1"/>
  <c r="A173" i="1" l="1"/>
  <c r="B173" i="1" s="1"/>
  <c r="C174" i="1"/>
  <c r="A174" i="1" a="1"/>
  <c r="A174" i="1" l="1"/>
  <c r="B174" i="1" s="1"/>
  <c r="A175" i="1" a="1"/>
  <c r="A175" i="1" l="1"/>
  <c r="A176" i="1" a="1"/>
  <c r="C177" i="1" l="1"/>
  <c r="B175" i="1"/>
  <c r="A176" i="1"/>
  <c r="B176" i="1" s="1"/>
  <c r="A177" i="1" a="1"/>
  <c r="A177" i="1" l="1"/>
  <c r="B177" i="1" s="1"/>
  <c r="A178" i="1" a="1"/>
  <c r="A178" i="1" l="1"/>
  <c r="B178" i="1" s="1"/>
  <c r="A179" i="1" a="1"/>
  <c r="C180" i="1" l="1"/>
  <c r="A179" i="1"/>
  <c r="B179" i="1" s="1"/>
  <c r="A180" i="1" a="1"/>
  <c r="A180" i="1" l="1"/>
  <c r="B180" i="1" s="1"/>
  <c r="A181" i="1" a="1"/>
  <c r="A181" i="1" l="1"/>
  <c r="B181" i="1" s="1"/>
  <c r="A182" i="1" a="1"/>
  <c r="A182" i="1" l="1"/>
  <c r="B182" i="1" s="1"/>
  <c r="C183" i="1"/>
  <c r="A183" i="1" a="1"/>
  <c r="A183" i="1" l="1"/>
  <c r="B183" i="1" s="1"/>
  <c r="A184" i="1" a="1"/>
  <c r="A184" i="1" l="1"/>
  <c r="B184" i="1" s="1"/>
  <c r="A185" i="1" a="1"/>
  <c r="C186" i="1" l="1"/>
  <c r="A185" i="1"/>
  <c r="B185" i="1" s="1"/>
  <c r="A186" i="1" a="1"/>
  <c r="A186" i="1" l="1"/>
  <c r="B186" i="1" s="1"/>
  <c r="A187" i="1" a="1"/>
  <c r="A187" i="1" l="1"/>
  <c r="B187" i="1" s="1"/>
  <c r="A188" i="1" a="1"/>
  <c r="A188" i="1" l="1"/>
  <c r="B188" i="1" s="1"/>
  <c r="A189" i="1" a="1"/>
  <c r="A189" i="1" l="1"/>
  <c r="B189" i="1" s="1"/>
  <c r="A190" i="1" a="1"/>
  <c r="A190" i="1" l="1"/>
  <c r="B190" i="1" s="1"/>
  <c r="A191" i="1" a="1"/>
  <c r="A191" i="1" l="1"/>
  <c r="B191" i="1" s="1"/>
  <c r="A192" i="1" a="1"/>
  <c r="A192" i="1" l="1"/>
  <c r="B192" i="1" s="1"/>
  <c r="A193" i="1" a="1"/>
  <c r="A193" i="1" l="1"/>
  <c r="B193" i="1" s="1"/>
  <c r="A194" i="1" a="1"/>
  <c r="A194" i="1" l="1"/>
  <c r="B194" i="1" s="1"/>
  <c r="A195" i="1" a="1"/>
  <c r="A195" i="1" l="1"/>
  <c r="A196" i="1" a="1"/>
  <c r="C197" i="1" l="1"/>
  <c r="B195" i="1"/>
  <c r="A196" i="1"/>
  <c r="B196" i="1" s="1"/>
  <c r="A197" i="1" a="1"/>
  <c r="A197" i="1" l="1"/>
  <c r="B197" i="1" s="1"/>
  <c r="A198" i="1" a="1"/>
  <c r="A198" i="1" l="1"/>
  <c r="B198" i="1" s="1"/>
  <c r="A199" i="1" a="1"/>
  <c r="A199" i="1" l="1"/>
  <c r="B199" i="1" s="1"/>
  <c r="C200" i="1"/>
  <c r="A200" i="1" a="1"/>
  <c r="A200" i="1" l="1"/>
  <c r="B200" i="1" s="1"/>
  <c r="A201" i="1" a="1"/>
  <c r="A201" i="1" l="1"/>
  <c r="B201" i="1" s="1"/>
  <c r="A202" i="1" a="1"/>
  <c r="A202" i="1" l="1"/>
  <c r="B202" i="1" s="1"/>
  <c r="C203" i="1"/>
  <c r="A203" i="1" a="1"/>
  <c r="A203" i="1" l="1"/>
  <c r="B203" i="1" s="1"/>
  <c r="A204" i="1" a="1"/>
  <c r="A204" i="1" l="1"/>
  <c r="A205" i="1" a="1"/>
  <c r="C206" i="1" l="1"/>
  <c r="B204" i="1"/>
  <c r="A205" i="1"/>
  <c r="B205" i="1" s="1"/>
  <c r="A206" i="1" a="1"/>
  <c r="A206" i="1" l="1"/>
  <c r="B206" i="1" s="1"/>
  <c r="A207" i="1" a="1"/>
  <c r="A207" i="1" l="1"/>
  <c r="B207" i="1" s="1"/>
  <c r="A208" i="1" a="1"/>
  <c r="C209" i="1" l="1"/>
  <c r="A208" i="1"/>
  <c r="B208" i="1" s="1"/>
  <c r="A209" i="1" a="1"/>
  <c r="A209" i="1" l="1"/>
  <c r="B209" i="1" s="1"/>
  <c r="A210" i="1" a="1"/>
  <c r="A210" i="1" l="1"/>
  <c r="B210" i="1" s="1"/>
  <c r="A211" i="1" a="1"/>
  <c r="A211" i="1" l="1"/>
  <c r="B211" i="1" s="1"/>
  <c r="A212" i="1" a="1"/>
  <c r="A212" i="1" l="1"/>
  <c r="B212" i="1" s="1"/>
  <c r="A213" i="1" a="1"/>
  <c r="A213" i="1" l="1"/>
  <c r="B213" i="1" s="1"/>
  <c r="A214" i="1" a="1"/>
  <c r="C353" i="1" l="1"/>
  <c r="A214" i="1"/>
  <c r="B214" i="1" s="1"/>
  <c r="A215" i="1" a="1"/>
  <c r="A215" i="1" l="1"/>
  <c r="A216" i="1" a="1"/>
  <c r="C217" i="1" l="1"/>
  <c r="B215" i="1"/>
  <c r="A216" i="1"/>
  <c r="B216" i="1" s="1"/>
  <c r="A217" i="1" a="1"/>
  <c r="A217" i="1" l="1"/>
  <c r="B217" i="1" s="1"/>
  <c r="A218" i="1" a="1"/>
  <c r="A218" i="1" l="1"/>
  <c r="B218" i="1" s="1"/>
  <c r="A219" i="1" a="1"/>
  <c r="C220" i="1" l="1"/>
  <c r="A219" i="1"/>
  <c r="B219" i="1" s="1"/>
  <c r="A220" i="1" a="1"/>
  <c r="A220" i="1" l="1"/>
  <c r="B220" i="1" s="1"/>
  <c r="A221" i="1" a="1"/>
  <c r="A221" i="1" l="1"/>
  <c r="B221" i="1" s="1"/>
  <c r="A222" i="1" a="1"/>
  <c r="A222" i="1" l="1"/>
  <c r="B222" i="1" s="1"/>
  <c r="C226" i="1"/>
  <c r="C229" i="1"/>
  <c r="C223" i="1"/>
  <c r="A223" i="1" a="1"/>
  <c r="A223" i="1" l="1"/>
  <c r="B223" i="1" s="1"/>
  <c r="A224" i="1" a="1"/>
  <c r="A224" i="1" l="1"/>
  <c r="B224" i="1" s="1"/>
  <c r="A225" i="1" a="1"/>
  <c r="A225" i="1" l="1"/>
  <c r="B225" i="1" s="1"/>
  <c r="A226" i="1" a="1"/>
  <c r="A226" i="1" l="1"/>
  <c r="B226" i="1" s="1"/>
  <c r="A227" i="1" a="1"/>
  <c r="A227" i="1" l="1"/>
  <c r="B227" i="1" s="1"/>
  <c r="C228" i="1"/>
  <c r="A228" i="1" a="1"/>
  <c r="A228" i="1" l="1"/>
  <c r="B228" i="1" s="1"/>
  <c r="A229" i="1" a="1"/>
  <c r="A229" i="1" l="1"/>
  <c r="B229" i="1" s="1"/>
  <c r="A230" i="1" a="1"/>
  <c r="A230" i="1" l="1"/>
  <c r="B230" i="1" s="1"/>
  <c r="C233" i="1"/>
  <c r="C234" i="1"/>
  <c r="A231" i="1" a="1"/>
  <c r="A231" i="1" l="1"/>
  <c r="B231" i="1" s="1"/>
  <c r="A232" i="1" a="1"/>
  <c r="A232" i="1" l="1"/>
  <c r="B232" i="1" s="1"/>
  <c r="A233" i="1" a="1"/>
  <c r="A233" i="1" l="1"/>
  <c r="B233" i="1" s="1"/>
  <c r="A234" i="1" a="1"/>
  <c r="A234" i="1" l="1"/>
  <c r="B234" i="1" s="1"/>
  <c r="A235" i="1" a="1"/>
  <c r="A235" i="1" l="1"/>
  <c r="B235" i="1" s="1"/>
  <c r="A236" i="1" a="1"/>
  <c r="A236" i="1" l="1"/>
  <c r="B236" i="1" s="1"/>
  <c r="C237" i="1"/>
  <c r="A237" i="1" a="1"/>
  <c r="A237" i="1" l="1"/>
  <c r="B237" i="1" s="1"/>
  <c r="A238" i="1" a="1"/>
  <c r="A238" i="1" l="1"/>
  <c r="B238" i="1" s="1"/>
  <c r="A239" i="1" a="1"/>
  <c r="A239" i="1" l="1"/>
  <c r="B239" i="1" s="1"/>
  <c r="A240" i="1" a="1"/>
  <c r="A240" i="1" l="1"/>
  <c r="B240" i="1" s="1"/>
  <c r="A241" i="1" a="1"/>
  <c r="A241" i="1" l="1"/>
  <c r="B241" i="1" s="1"/>
  <c r="A242" i="1" a="1"/>
  <c r="A242" i="1" l="1"/>
  <c r="B242" i="1" s="1"/>
  <c r="C243" i="1"/>
  <c r="C247" i="1"/>
  <c r="A243" i="1" a="1"/>
  <c r="A243" i="1" l="1"/>
  <c r="B243" i="1" s="1"/>
  <c r="A244" i="1" a="1"/>
  <c r="A244" i="1" l="1"/>
  <c r="B244" i="1" s="1"/>
  <c r="A245" i="1" a="1"/>
  <c r="A245" i="1" l="1"/>
  <c r="B245" i="1" s="1"/>
  <c r="A246" i="1" a="1"/>
  <c r="A246" i="1" l="1"/>
  <c r="B246" i="1" s="1"/>
  <c r="A247" i="1" a="1"/>
  <c r="A247" i="1" l="1"/>
  <c r="B247" i="1" s="1"/>
  <c r="A248" i="1" a="1"/>
  <c r="A248" i="1" l="1"/>
  <c r="B248" i="1" s="1"/>
  <c r="A249" i="1" a="1"/>
  <c r="A249" i="1" l="1"/>
  <c r="B249" i="1" s="1"/>
  <c r="C250" i="1"/>
  <c r="A250" i="1" a="1"/>
  <c r="A250" i="1" l="1"/>
  <c r="B250" i="1" s="1"/>
  <c r="A251" i="1" a="1"/>
  <c r="A251" i="1" l="1"/>
  <c r="B251" i="1" s="1"/>
  <c r="A252" i="1" a="1"/>
  <c r="A252" i="1" l="1"/>
  <c r="B252" i="1" s="1"/>
  <c r="C253" i="1"/>
  <c r="C255" i="1"/>
  <c r="A253" i="1" a="1"/>
  <c r="A253" i="1" l="1"/>
  <c r="B253" i="1" s="1"/>
  <c r="A254" i="1" a="1"/>
  <c r="A254" i="1" l="1"/>
  <c r="B254" i="1" s="1"/>
  <c r="A255" i="1" a="1"/>
  <c r="A255" i="1" l="1"/>
  <c r="B255" i="1" s="1"/>
  <c r="A256" i="1" a="1"/>
  <c r="A256" i="1" l="1"/>
  <c r="B256" i="1" s="1"/>
  <c r="A257" i="1" a="1"/>
  <c r="A257" i="1" l="1"/>
  <c r="B257" i="1" s="1"/>
  <c r="A258" i="1" a="1"/>
  <c r="A258" i="1" l="1"/>
  <c r="B258" i="1" s="1"/>
  <c r="A259" i="1" a="1"/>
  <c r="A259" i="1" l="1"/>
  <c r="B259" i="1" s="1"/>
  <c r="A260" i="1" a="1"/>
  <c r="A260" i="1" l="1"/>
  <c r="B260" i="1" s="1"/>
  <c r="C261" i="1"/>
  <c r="A261" i="1" a="1"/>
  <c r="A261" i="1" l="1"/>
  <c r="B261" i="1" s="1"/>
  <c r="A262" i="1" a="1"/>
  <c r="A262" i="1" l="1"/>
  <c r="B262" i="1" s="1"/>
  <c r="A263" i="1" a="1"/>
  <c r="A263" i="1" l="1"/>
  <c r="B263" i="1" s="1"/>
  <c r="C264" i="1"/>
  <c r="A264" i="1" a="1"/>
  <c r="A264" i="1" l="1"/>
  <c r="B264" i="1" s="1"/>
  <c r="A265" i="1" a="1"/>
  <c r="A265" i="1" l="1"/>
  <c r="B265" i="1" s="1"/>
  <c r="A266" i="1" a="1"/>
  <c r="A266" i="1" l="1"/>
  <c r="B266" i="1" s="1"/>
  <c r="C267" i="1"/>
  <c r="A267" i="1" a="1"/>
  <c r="A267" i="1" l="1"/>
  <c r="B267" i="1" s="1"/>
  <c r="A268" i="1" a="1"/>
  <c r="A268" i="1" l="1"/>
  <c r="B268" i="1" s="1"/>
  <c r="A269" i="1" a="1"/>
  <c r="A269" i="1" l="1"/>
  <c r="B269" i="1" s="1"/>
  <c r="C270" i="1"/>
  <c r="A270" i="1" a="1"/>
  <c r="A270" i="1" l="1"/>
  <c r="B270" i="1" s="1"/>
  <c r="A271" i="1" a="1"/>
  <c r="A271" i="1" l="1"/>
  <c r="B271" i="1" s="1"/>
  <c r="A272" i="1" a="1"/>
  <c r="A272" i="1" l="1"/>
  <c r="B272" i="1" s="1"/>
  <c r="C291" i="1"/>
  <c r="C288" i="1"/>
  <c r="C293" i="1"/>
  <c r="C290" i="1"/>
  <c r="A273" i="1" a="1"/>
  <c r="A273" i="1" l="1"/>
  <c r="B273" i="1" s="1"/>
  <c r="C292" i="1"/>
  <c r="A274" i="1" a="1"/>
  <c r="A274" i="1" l="1"/>
  <c r="B274" i="1" s="1"/>
  <c r="A275" i="1" a="1"/>
  <c r="A275" i="1" l="1"/>
  <c r="B275" i="1" s="1"/>
  <c r="C296" i="1"/>
  <c r="A276" i="1" a="1"/>
  <c r="A276" i="1" l="1"/>
  <c r="B276" i="1" s="1"/>
  <c r="C299" i="1"/>
  <c r="A277" i="1" a="1"/>
  <c r="A277" i="1" l="1"/>
  <c r="B277" i="1" s="1"/>
  <c r="C300" i="1"/>
  <c r="A278" i="1" a="1"/>
  <c r="A278" i="1" l="1"/>
  <c r="B278" i="1" s="1"/>
  <c r="C301" i="1"/>
  <c r="A279" i="1" a="1"/>
  <c r="A279" i="1" l="1"/>
  <c r="B279" i="1" s="1"/>
  <c r="C302" i="1"/>
  <c r="A280" i="1" a="1"/>
  <c r="A280" i="1" l="1"/>
  <c r="B280" i="1" s="1"/>
  <c r="C303" i="1"/>
  <c r="A281" i="1" a="1"/>
  <c r="A281" i="1" l="1"/>
  <c r="B281" i="1" s="1"/>
  <c r="C304" i="1"/>
  <c r="A282" i="1" a="1"/>
  <c r="A282" i="1" l="1"/>
  <c r="B282" i="1" s="1"/>
  <c r="C305" i="1"/>
  <c r="A283" i="1" a="1"/>
  <c r="A283" i="1" l="1"/>
  <c r="B283" i="1" s="1"/>
  <c r="C306" i="1"/>
  <c r="A284" i="1" a="1"/>
  <c r="A284" i="1" l="1"/>
  <c r="B284" i="1" s="1"/>
  <c r="A285" i="1" a="1"/>
  <c r="A285" i="1" l="1"/>
  <c r="B285" i="1" s="1"/>
  <c r="A286" i="1" a="1"/>
  <c r="A286" i="1" l="1"/>
  <c r="B286" i="1" s="1"/>
  <c r="A287" i="1" a="1"/>
  <c r="A287" i="1" l="1"/>
  <c r="B287" i="1" s="1"/>
  <c r="A288" i="1" a="1"/>
  <c r="A288" i="1" l="1"/>
  <c r="B288" i="1" s="1"/>
  <c r="A289" i="1" a="1"/>
  <c r="A289" i="1" l="1"/>
  <c r="B289" i="1" s="1"/>
  <c r="A290" i="1" a="1"/>
  <c r="A290" i="1" l="1"/>
  <c r="B290" i="1" s="1"/>
  <c r="A291" i="1" a="1"/>
  <c r="A291" i="1" l="1"/>
  <c r="B291" i="1" s="1"/>
  <c r="A292" i="1" a="1"/>
  <c r="A292" i="1" l="1"/>
  <c r="B292" i="1" s="1"/>
  <c r="A293" i="1" a="1"/>
  <c r="A293" i="1" l="1"/>
  <c r="B293" i="1" s="1"/>
  <c r="A294" i="1" a="1"/>
  <c r="A294" i="1" l="1"/>
  <c r="B294" i="1" s="1"/>
  <c r="C295" i="1"/>
  <c r="A295" i="1" a="1"/>
  <c r="A295" i="1" l="1"/>
  <c r="B295" i="1" s="1"/>
  <c r="A296" i="1" a="1"/>
  <c r="A296" i="1" l="1"/>
  <c r="B296" i="1" s="1"/>
  <c r="A297" i="1" a="1"/>
  <c r="A297" i="1" l="1"/>
  <c r="B297" i="1" s="1"/>
  <c r="A298" i="1" a="1"/>
  <c r="A298" i="1" l="1"/>
  <c r="B298" i="1" s="1"/>
  <c r="A299" i="1" a="1"/>
  <c r="A299" i="1" l="1"/>
  <c r="B299" i="1" s="1"/>
  <c r="A300" i="1" a="1"/>
  <c r="A300" i="1" l="1"/>
  <c r="B300" i="1" s="1"/>
  <c r="A301" i="1" a="1"/>
  <c r="A301" i="1" l="1"/>
  <c r="B301" i="1" s="1"/>
  <c r="A302" i="1" a="1"/>
  <c r="A302" i="1" l="1"/>
  <c r="B302" i="1" s="1"/>
  <c r="A303" i="1" a="1"/>
  <c r="A303" i="1" l="1"/>
  <c r="B303" i="1" s="1"/>
  <c r="A304" i="1" a="1"/>
  <c r="A304" i="1" l="1"/>
  <c r="B304" i="1" s="1"/>
  <c r="A305" i="1" a="1"/>
  <c r="A305" i="1" l="1"/>
  <c r="B305" i="1" s="1"/>
  <c r="A306" i="1" a="1"/>
  <c r="A306" i="1" l="1"/>
  <c r="B306" i="1" s="1"/>
  <c r="A307" i="1" a="1"/>
  <c r="A307" i="1" l="1"/>
  <c r="B307" i="1" s="1"/>
  <c r="A308" i="1" a="1"/>
  <c r="A308" i="1" l="1"/>
  <c r="B308" i="1" s="1"/>
  <c r="C316" i="1"/>
  <c r="C309" i="1"/>
  <c r="A309" i="1" a="1"/>
  <c r="A309" i="1" l="1"/>
  <c r="B309" i="1" s="1"/>
  <c r="A310" i="1" a="1"/>
  <c r="A310" i="1" l="1"/>
  <c r="B310" i="1" s="1"/>
  <c r="A311" i="1" a="1"/>
  <c r="A311" i="1" l="1"/>
  <c r="B311" i="1" s="1"/>
  <c r="A312" i="1" a="1"/>
  <c r="A312" i="1" l="1"/>
  <c r="B312" i="1" s="1"/>
  <c r="A313" i="1" a="1"/>
  <c r="A313" i="1" l="1"/>
  <c r="B313" i="1" s="1"/>
  <c r="A314" i="1" a="1"/>
  <c r="A314" i="1" l="1"/>
  <c r="B314" i="1" s="1"/>
  <c r="A315" i="1" a="1"/>
  <c r="A315" i="1" l="1"/>
  <c r="B315" i="1" s="1"/>
  <c r="A316" i="1" a="1"/>
  <c r="A316" i="1" l="1"/>
  <c r="B316" i="1" s="1"/>
  <c r="A317" i="1" a="1"/>
  <c r="A317" i="1" l="1"/>
  <c r="B317" i="1" s="1"/>
  <c r="C318" i="1"/>
  <c r="A318" i="1" a="1"/>
  <c r="A318" i="1" l="1"/>
  <c r="B318" i="1" s="1"/>
  <c r="A319" i="1" a="1"/>
  <c r="A319" i="1" l="1"/>
  <c r="B319" i="1" s="1"/>
  <c r="A320" i="1" a="1"/>
  <c r="A320" i="1" l="1"/>
  <c r="B320" i="1" s="1"/>
  <c r="C326" i="1"/>
  <c r="C321" i="1"/>
  <c r="C325" i="1"/>
  <c r="A321" i="1" a="1"/>
  <c r="A321" i="1" l="1"/>
  <c r="B321" i="1" s="1"/>
  <c r="A322" i="1" a="1"/>
  <c r="A322" i="1" l="1"/>
  <c r="B322" i="1" s="1"/>
  <c r="A323" i="1" a="1"/>
  <c r="A323" i="1" l="1"/>
  <c r="B323" i="1" s="1"/>
  <c r="A324" i="1" a="1"/>
  <c r="A324" i="1" l="1"/>
  <c r="B324" i="1" s="1"/>
  <c r="A325" i="1" a="1"/>
  <c r="A325" i="1" l="1"/>
  <c r="B325" i="1" s="1"/>
  <c r="A326" i="1" a="1"/>
  <c r="A326" i="1" l="1"/>
  <c r="B326" i="1" s="1"/>
  <c r="A327" i="1" a="1"/>
  <c r="A327" i="1" l="1"/>
  <c r="B327" i="1" s="1"/>
  <c r="C328" i="1"/>
  <c r="C331" i="1"/>
  <c r="A328" i="1" a="1"/>
  <c r="A328" i="1" l="1"/>
  <c r="B328" i="1" s="1"/>
  <c r="A329" i="1" a="1"/>
  <c r="A329" i="1" l="1"/>
  <c r="B329" i="1" s="1"/>
  <c r="A330" i="1" a="1"/>
  <c r="A330" i="1" l="1"/>
  <c r="B330" i="1" s="1"/>
  <c r="A331" i="1" a="1"/>
  <c r="A331" i="1" l="1"/>
  <c r="B331" i="1" s="1"/>
  <c r="A332" i="1" a="1"/>
  <c r="A332" i="1" l="1"/>
  <c r="B332" i="1" s="1"/>
  <c r="C333" i="1"/>
  <c r="A333" i="1" a="1"/>
  <c r="A333" i="1" l="1"/>
  <c r="B333" i="1" s="1"/>
  <c r="A334" i="1" a="1"/>
  <c r="A334" i="1" l="1"/>
  <c r="B334" i="1" s="1"/>
  <c r="A335" i="1" a="1"/>
  <c r="A335" i="1" l="1"/>
  <c r="B335" i="1" s="1"/>
  <c r="C337" i="1"/>
  <c r="A336" i="1" a="1"/>
  <c r="A336" i="1" l="1"/>
  <c r="B336" i="1" s="1"/>
  <c r="A337" i="1" a="1"/>
  <c r="A337" i="1" l="1"/>
  <c r="B337" i="1" s="1"/>
  <c r="A338" i="1" a="1"/>
  <c r="A338" i="1" l="1"/>
  <c r="B338" i="1" s="1"/>
  <c r="A339" i="1" a="1"/>
  <c r="A339" i="1" l="1"/>
  <c r="B339" i="1" s="1"/>
  <c r="C341" i="1"/>
  <c r="C340" i="1"/>
  <c r="A340" i="1" a="1"/>
  <c r="A340" i="1" l="1"/>
  <c r="B340" i="1" s="1"/>
  <c r="A341" i="1" a="1"/>
  <c r="A341" i="1" l="1"/>
  <c r="B341" i="1" s="1"/>
  <c r="A342" i="1" a="1"/>
  <c r="A342" i="1" l="1"/>
  <c r="B342" i="1" s="1"/>
  <c r="A343" i="1" a="1"/>
  <c r="A343" i="1" l="1"/>
  <c r="B343" i="1" s="1"/>
  <c r="C345" i="1"/>
  <c r="C344" i="1"/>
  <c r="A344" i="1" a="1"/>
  <c r="A344" i="1" l="1"/>
  <c r="B344" i="1" s="1"/>
  <c r="A345" i="1" a="1"/>
  <c r="A345" i="1" l="1"/>
  <c r="B345" i="1" s="1"/>
  <c r="A346" i="1" a="1"/>
  <c r="A346" i="1" l="1"/>
  <c r="B346" i="1" s="1"/>
  <c r="A347" i="1" a="1"/>
  <c r="A347" i="1" l="1"/>
  <c r="B347" i="1" s="1"/>
  <c r="A348" i="1" a="1"/>
  <c r="A348" i="1" l="1"/>
  <c r="B348" i="1" s="1"/>
  <c r="C349" i="1"/>
  <c r="A349" i="1" a="1"/>
  <c r="A349" i="1" l="1"/>
  <c r="B349" i="1" s="1"/>
  <c r="A350" i="1" a="1"/>
  <c r="A350" i="1" l="1"/>
  <c r="B350" i="1" s="1"/>
  <c r="A351" i="1" a="1"/>
  <c r="A351" i="1" l="1"/>
  <c r="B351" i="1" s="1"/>
  <c r="C352" i="1"/>
  <c r="A352" i="1" a="1"/>
  <c r="A352" i="1" l="1"/>
  <c r="B352" i="1" s="1"/>
  <c r="A353" i="1" a="1"/>
  <c r="A353" i="1" l="1"/>
  <c r="B353" i="1" s="1"/>
  <c r="A354" i="1" a="1"/>
  <c r="A354" i="1" l="1"/>
  <c r="B354" i="1" s="1"/>
  <c r="C355" i="1"/>
  <c r="A355" i="1" a="1"/>
  <c r="A355" i="1" l="1"/>
  <c r="B355" i="1" s="1"/>
  <c r="A356" i="1" a="1"/>
  <c r="A356" i="1" l="1"/>
  <c r="B356" i="1" s="1"/>
  <c r="A357" i="1" a="1"/>
  <c r="A357" i="1" l="1"/>
  <c r="B357" i="1" s="1"/>
  <c r="C358" i="1"/>
  <c r="A358" i="1" a="1"/>
  <c r="A358" i="1" l="1"/>
  <c r="B358" i="1" s="1"/>
  <c r="A359" i="1" a="1"/>
  <c r="A359" i="1" l="1"/>
  <c r="B359" i="1" s="1"/>
  <c r="A360" i="1" a="1"/>
  <c r="A360" i="1" l="1"/>
  <c r="B360" i="1" s="1"/>
  <c r="A361" i="1" a="1"/>
  <c r="A361" i="1" l="1"/>
  <c r="B361" i="1" s="1"/>
  <c r="A362" i="1" a="1"/>
  <c r="A362" i="1" l="1"/>
  <c r="B362" i="1" s="1"/>
  <c r="A363" i="1" a="1"/>
  <c r="A363" i="1" l="1"/>
  <c r="B363" i="1" s="1"/>
  <c r="A364" i="1" a="1"/>
  <c r="A364" i="1" l="1"/>
  <c r="B364" i="1" s="1"/>
  <c r="A365" i="1" a="1"/>
  <c r="A365" i="1" l="1"/>
  <c r="B365" i="1" s="1"/>
  <c r="C366" i="1"/>
  <c r="A366" i="1" a="1"/>
  <c r="A366" i="1" l="1"/>
  <c r="B366" i="1" s="1"/>
  <c r="A367" i="1" a="1"/>
  <c r="A367" i="1" l="1"/>
  <c r="B367" i="1" s="1"/>
  <c r="A368" i="1" a="1"/>
  <c r="A368" i="1" l="1"/>
  <c r="B368" i="1" s="1"/>
  <c r="C369" i="1"/>
  <c r="A369" i="1" a="1"/>
  <c r="A369" i="1" l="1"/>
  <c r="B369" i="1" s="1"/>
  <c r="A370" i="1" a="1"/>
  <c r="A370" i="1" l="1"/>
  <c r="B370" i="1" s="1"/>
  <c r="A371" i="1" a="1"/>
  <c r="A371" i="1" l="1"/>
  <c r="B371" i="1" s="1"/>
  <c r="C372" i="1"/>
  <c r="A372" i="1" a="1"/>
  <c r="A372" i="1" l="1"/>
  <c r="B372" i="1" s="1"/>
  <c r="A373" i="1" a="1"/>
  <c r="A373" i="1" l="1"/>
  <c r="B373" i="1" s="1"/>
  <c r="A374" i="1" a="1"/>
  <c r="A374" i="1" l="1"/>
  <c r="B374" i="1" s="1"/>
  <c r="C375" i="1"/>
  <c r="A375" i="1" a="1"/>
  <c r="A375" i="1" l="1"/>
  <c r="B375" i="1" s="1"/>
  <c r="A376" i="1" a="1"/>
  <c r="A376" i="1" l="1"/>
  <c r="B376" i="1" s="1"/>
  <c r="A377" i="1" a="1"/>
  <c r="A377" i="1" l="1"/>
  <c r="B377" i="1" s="1"/>
  <c r="C378" i="1"/>
  <c r="A378" i="1" a="1"/>
  <c r="A378" i="1" l="1"/>
  <c r="B378" i="1" s="1"/>
  <c r="A379" i="1" a="1"/>
  <c r="A379" i="1" l="1"/>
  <c r="B379" i="1" s="1"/>
  <c r="A380" i="1" a="1"/>
  <c r="A380" i="1" l="1"/>
  <c r="B380" i="1" s="1"/>
  <c r="C381" i="1"/>
  <c r="A381" i="1" a="1"/>
  <c r="A381" i="1" l="1"/>
  <c r="B381" i="1" s="1"/>
  <c r="A382" i="1" a="1"/>
  <c r="A382" i="1" l="1"/>
  <c r="B382" i="1" s="1"/>
  <c r="A383" i="1" a="1"/>
  <c r="A383" i="1" l="1"/>
  <c r="B383" i="1" s="1"/>
  <c r="C384" i="1"/>
  <c r="A384" i="1" a="1"/>
  <c r="A384" i="1" l="1"/>
  <c r="A2" i="2" l="1"/>
  <c r="B38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<sst xmlns="http://schemas.openxmlformats.org/spreadsheetml/2006/main" count="2250" uniqueCount="973">
  <si>
    <t>选项</t>
    <phoneticPr fontId="30" type="noConversion"/>
  </si>
  <si>
    <t>是</t>
    <phoneticPr fontId="30" type="noConversion"/>
  </si>
  <si>
    <t>否</t>
    <phoneticPr fontId="30" type="noConversion"/>
  </si>
  <si>
    <t>引导描述</t>
    <phoneticPr fontId="30" type="noConversion"/>
  </si>
  <si>
    <t>答案类型</t>
    <phoneticPr fontId="30" type="noConversion"/>
  </si>
  <si>
    <t>单选</t>
    <phoneticPr fontId="30" type="noConversion"/>
  </si>
  <si>
    <t>多选</t>
    <phoneticPr fontId="30" type="noConversion"/>
  </si>
  <si>
    <t>产品是否涉及导光束</t>
    <phoneticPr fontId="30" type="noConversion"/>
  </si>
  <si>
    <t>产品形态属于整机还是模组</t>
    <phoneticPr fontId="30" type="noConversion"/>
  </si>
  <si>
    <t>整机</t>
    <phoneticPr fontId="30" type="noConversion"/>
  </si>
  <si>
    <t>模组</t>
    <phoneticPr fontId="30" type="noConversion"/>
  </si>
  <si>
    <t>该产品将包含哪些功能组成</t>
    <phoneticPr fontId="30" type="noConversion"/>
  </si>
  <si>
    <t>机械结构</t>
    <phoneticPr fontId="30" type="noConversion"/>
  </si>
  <si>
    <t>软件控制</t>
    <phoneticPr fontId="30" type="noConversion"/>
  </si>
  <si>
    <t>产品电源输入类型</t>
    <phoneticPr fontId="30" type="noConversion"/>
  </si>
  <si>
    <t>直流</t>
    <phoneticPr fontId="30" type="noConversion"/>
  </si>
  <si>
    <t>交流</t>
    <phoneticPr fontId="30" type="noConversion"/>
  </si>
  <si>
    <t>输出标签</t>
    <phoneticPr fontId="30" type="noConversion"/>
  </si>
  <si>
    <t>请选择产品控制模式</t>
    <phoneticPr fontId="30" type="noConversion"/>
  </si>
  <si>
    <t>TTL</t>
  </si>
  <si>
    <t>TTL</t>
    <phoneticPr fontId="30" type="noConversion"/>
  </si>
  <si>
    <t>PWM</t>
    <phoneticPr fontId="30" type="noConversion"/>
  </si>
  <si>
    <t>RS232</t>
  </si>
  <si>
    <t>RS232</t>
    <phoneticPr fontId="30" type="noConversion"/>
  </si>
  <si>
    <t>RS422</t>
  </si>
  <si>
    <t>RS422</t>
    <phoneticPr fontId="30" type="noConversion"/>
  </si>
  <si>
    <t>RS485</t>
  </si>
  <si>
    <t>RS485</t>
    <phoneticPr fontId="30" type="noConversion"/>
  </si>
  <si>
    <t>IIC</t>
  </si>
  <si>
    <t>IIC</t>
    <phoneticPr fontId="30" type="noConversion"/>
  </si>
  <si>
    <t>SPI</t>
  </si>
  <si>
    <t>SPI</t>
    <phoneticPr fontId="30" type="noConversion"/>
  </si>
  <si>
    <t>USB</t>
  </si>
  <si>
    <t>USB</t>
    <phoneticPr fontId="30" type="noConversion"/>
  </si>
  <si>
    <t>CAN</t>
  </si>
  <si>
    <t>CAN</t>
    <phoneticPr fontId="30" type="noConversion"/>
  </si>
  <si>
    <t>LAN</t>
  </si>
  <si>
    <t>LAN</t>
    <phoneticPr fontId="30" type="noConversion"/>
  </si>
  <si>
    <t>按键开关</t>
  </si>
  <si>
    <t>按键开关</t>
    <phoneticPr fontId="30" type="noConversion"/>
  </si>
  <si>
    <t>电位器</t>
  </si>
  <si>
    <t>电位器</t>
    <phoneticPr fontId="30" type="noConversion"/>
  </si>
  <si>
    <t>编码器</t>
  </si>
  <si>
    <t>编码器</t>
    <phoneticPr fontId="30" type="noConversion"/>
  </si>
  <si>
    <t>触控屏</t>
  </si>
  <si>
    <t>触控屏</t>
    <phoneticPr fontId="30" type="noConversion"/>
  </si>
  <si>
    <t>踏板</t>
  </si>
  <si>
    <t>踏板</t>
    <phoneticPr fontId="30" type="noConversion"/>
  </si>
  <si>
    <t>我司是否负责导光束的供货</t>
    <phoneticPr fontId="30" type="noConversion"/>
  </si>
  <si>
    <t>导光束与产品的协同关系</t>
    <phoneticPr fontId="30" type="noConversion"/>
  </si>
  <si>
    <t>导光束→产品</t>
    <phoneticPr fontId="30" type="noConversion"/>
  </si>
  <si>
    <t>产品→导光束→产品</t>
    <phoneticPr fontId="30" type="noConversion"/>
  </si>
  <si>
    <t>产品→导光束</t>
    <phoneticPr fontId="30" type="noConversion"/>
  </si>
  <si>
    <t>激活条件</t>
    <phoneticPr fontId="30" type="noConversion"/>
  </si>
  <si>
    <t>选项输出值</t>
    <phoneticPr fontId="30" type="noConversion"/>
  </si>
  <si>
    <t>硬件</t>
    <phoneticPr fontId="30" type="noConversion"/>
  </si>
  <si>
    <t>软件</t>
    <phoneticPr fontId="30" type="noConversion"/>
  </si>
  <si>
    <t>结构</t>
    <phoneticPr fontId="30" type="noConversion"/>
  </si>
  <si>
    <t>光学</t>
    <phoneticPr fontId="30" type="noConversion"/>
  </si>
  <si>
    <t>直流输入</t>
    <phoneticPr fontId="30" type="noConversion"/>
  </si>
  <si>
    <t>交流输入</t>
    <phoneticPr fontId="30" type="noConversion"/>
  </si>
  <si>
    <t>导光束转接座包装要求</t>
    <phoneticPr fontId="30" type="noConversion"/>
  </si>
  <si>
    <t>分拆同箱</t>
    <phoneticPr fontId="30" type="noConversion"/>
  </si>
  <si>
    <t>分箱包装</t>
    <phoneticPr fontId="30" type="noConversion"/>
  </si>
  <si>
    <t>一体包装</t>
    <phoneticPr fontId="30" type="noConversion"/>
  </si>
  <si>
    <t>产品是否需要输出白光</t>
    <phoneticPr fontId="30" type="noConversion"/>
  </si>
  <si>
    <t>相关色温CCT</t>
    <phoneticPr fontId="30" type="noConversion"/>
  </si>
  <si>
    <t>光通量</t>
    <phoneticPr fontId="30" type="noConversion"/>
  </si>
  <si>
    <t>光功率</t>
    <phoneticPr fontId="30" type="noConversion"/>
  </si>
  <si>
    <t>CRI显指Ra</t>
    <phoneticPr fontId="30" type="noConversion"/>
  </si>
  <si>
    <t>CRI显指R9</t>
    <phoneticPr fontId="30" type="noConversion"/>
  </si>
  <si>
    <t>CCT</t>
    <phoneticPr fontId="30" type="noConversion"/>
  </si>
  <si>
    <t>Ra</t>
    <phoneticPr fontId="30" type="noConversion"/>
  </si>
  <si>
    <t>R9</t>
    <phoneticPr fontId="30" type="noConversion"/>
  </si>
  <si>
    <t>色坐标CIExy</t>
    <phoneticPr fontId="30" type="noConversion"/>
  </si>
  <si>
    <t>CIExy</t>
    <phoneticPr fontId="30" type="noConversion"/>
  </si>
  <si>
    <t>产品是否需要输出单色光</t>
    <phoneticPr fontId="30" type="noConversion"/>
  </si>
  <si>
    <t>白光</t>
    <phoneticPr fontId="30" type="noConversion"/>
  </si>
  <si>
    <t>单色光</t>
    <phoneticPr fontId="30" type="noConversion"/>
  </si>
  <si>
    <t>下列哪些单色光参数客户进行限制</t>
    <phoneticPr fontId="30" type="noConversion"/>
  </si>
  <si>
    <t>峰值波长</t>
    <phoneticPr fontId="30" type="noConversion"/>
  </si>
  <si>
    <t>主波长</t>
    <phoneticPr fontId="30" type="noConversion"/>
  </si>
  <si>
    <t>半峰全宽</t>
    <phoneticPr fontId="30" type="noConversion"/>
  </si>
  <si>
    <t>主波长（可见光范围适用）</t>
    <phoneticPr fontId="30" type="noConversion"/>
  </si>
  <si>
    <t>红绿辐通量比</t>
    <phoneticPr fontId="30" type="noConversion"/>
  </si>
  <si>
    <t>蓝绿辐通量比</t>
    <phoneticPr fontId="30" type="noConversion"/>
  </si>
  <si>
    <t>红外截止性能</t>
    <phoneticPr fontId="30" type="noConversion"/>
  </si>
  <si>
    <t>光照均匀性</t>
    <phoneticPr fontId="30" type="noConversion"/>
  </si>
  <si>
    <t>照度超限点</t>
    <phoneticPr fontId="30" type="noConversion"/>
  </si>
  <si>
    <t>照度</t>
    <phoneticPr fontId="30" type="noConversion"/>
  </si>
  <si>
    <t>辐照度</t>
    <phoneticPr fontId="30" type="noConversion"/>
  </si>
  <si>
    <t>光斑尺寸</t>
    <phoneticPr fontId="30" type="noConversion"/>
  </si>
  <si>
    <t>光强</t>
    <phoneticPr fontId="30" type="noConversion"/>
  </si>
  <si>
    <t>光束全角</t>
    <phoneticPr fontId="30" type="noConversion"/>
  </si>
  <si>
    <t>视场全角</t>
    <phoneticPr fontId="30" type="noConversion"/>
  </si>
  <si>
    <t>辐射强度</t>
    <phoneticPr fontId="30" type="noConversion"/>
  </si>
  <si>
    <t>钥匙开关</t>
    <phoneticPr fontId="30" type="noConversion"/>
  </si>
  <si>
    <t>急停开关</t>
    <phoneticPr fontId="30" type="noConversion"/>
  </si>
  <si>
    <t>以下哪些显示类配件需要随货提供</t>
    <phoneticPr fontId="30" type="noConversion"/>
  </si>
  <si>
    <t>LED指示灯</t>
    <phoneticPr fontId="30" type="noConversion"/>
  </si>
  <si>
    <t>数码管</t>
    <phoneticPr fontId="30" type="noConversion"/>
  </si>
  <si>
    <t>显示屏</t>
    <phoneticPr fontId="30" type="noConversion"/>
  </si>
  <si>
    <t>EMC</t>
    <phoneticPr fontId="30" type="noConversion"/>
  </si>
  <si>
    <t>RoHS</t>
    <phoneticPr fontId="30" type="noConversion"/>
  </si>
  <si>
    <t>激光安全</t>
    <phoneticPr fontId="30" type="noConversion"/>
  </si>
  <si>
    <t>光生物安全</t>
    <phoneticPr fontId="30" type="noConversion"/>
  </si>
  <si>
    <t>不要求</t>
    <phoneticPr fontId="30" type="noConversion"/>
  </si>
  <si>
    <t>是否要求产品具备频闪功能</t>
    <phoneticPr fontId="30" type="noConversion"/>
  </si>
  <si>
    <t>是否指定产品调光范围或步距</t>
    <phoneticPr fontId="30" type="noConversion"/>
  </si>
  <si>
    <t>是否指定产品调速风扇的工作逻辑</t>
    <phoneticPr fontId="30" type="noConversion"/>
  </si>
  <si>
    <t>是否指定产品必须使用调速风扇</t>
    <phoneticPr fontId="30" type="noConversion"/>
  </si>
  <si>
    <t>是否要求产品具备定期校正功能</t>
    <phoneticPr fontId="30" type="noConversion"/>
  </si>
  <si>
    <t>是否要求产品具备闭环反馈控制功能</t>
    <phoneticPr fontId="30" type="noConversion"/>
  </si>
  <si>
    <t>以下哪些认证/测试客户要求提供</t>
    <phoneticPr fontId="30" type="noConversion"/>
  </si>
  <si>
    <t>是否限制驱动控制板外形尺寸与安装孔位</t>
    <phoneticPr fontId="30" type="noConversion"/>
  </si>
  <si>
    <t>是否限制产品重量</t>
    <phoneticPr fontId="30" type="noConversion"/>
  </si>
  <si>
    <t>是否指定产品外观颜色</t>
    <phoneticPr fontId="30" type="noConversion"/>
  </si>
  <si>
    <t>是否限制产品出线位置</t>
    <phoneticPr fontId="30" type="noConversion"/>
  </si>
  <si>
    <t>是否限制产品外形尺寸或安装孔位</t>
    <phoneticPr fontId="30" type="noConversion"/>
  </si>
  <si>
    <t>是否限定产品外表面或器件的温升/温度</t>
    <phoneticPr fontId="30" type="noConversion"/>
  </si>
  <si>
    <t>是否限定产品工作时的噪声</t>
    <phoneticPr fontId="30" type="noConversion"/>
  </si>
  <si>
    <t>是否限定产品工作环境相对湿度</t>
    <phoneticPr fontId="30" type="noConversion"/>
  </si>
  <si>
    <t>是否限定产品工作环境温度</t>
    <phoneticPr fontId="30" type="noConversion"/>
  </si>
  <si>
    <t>是否指定导光束转接座尺寸形状</t>
    <phoneticPr fontId="30" type="noConversion"/>
  </si>
  <si>
    <t>是否指定转接座拉力测试合格标准</t>
    <phoneticPr fontId="30" type="noConversion"/>
  </si>
  <si>
    <t>是否指定产品超温报警温度与保护逻辑</t>
    <phoneticPr fontId="30" type="noConversion"/>
  </si>
  <si>
    <t>无条件</t>
  </si>
  <si>
    <t>光斑均匀性</t>
    <phoneticPr fontId="30" type="noConversion"/>
  </si>
  <si>
    <t>下列哪些内窥镜冷光源特有光参数客户进行限制</t>
    <phoneticPr fontId="30" type="noConversion"/>
  </si>
  <si>
    <t>产品需要多少个单色光输出</t>
    <phoneticPr fontId="30" type="noConversion"/>
  </si>
  <si>
    <t>需求项提示</t>
    <phoneticPr fontId="30" type="noConversion"/>
  </si>
  <si>
    <t>输入是否要求范围</t>
    <phoneticPr fontId="30" type="noConversion"/>
  </si>
  <si>
    <t>TRUE</t>
    <phoneticPr fontId="30" type="noConversion"/>
  </si>
  <si>
    <t>输入项名称依据</t>
    <phoneticPr fontId="30" type="noConversion"/>
  </si>
  <si>
    <t>输入项数量依据</t>
    <phoneticPr fontId="30" type="noConversion"/>
  </si>
  <si>
    <t>正整数</t>
    <phoneticPr fontId="30" type="noConversion"/>
  </si>
  <si>
    <t>字典</t>
    <phoneticPr fontId="30" type="noConversion"/>
  </si>
  <si>
    <t>机械悬臂检测</t>
    <phoneticPr fontId="30" type="noConversion"/>
  </si>
  <si>
    <t>接近开关检测</t>
    <phoneticPr fontId="30" type="noConversion"/>
  </si>
  <si>
    <t>LED指示灯</t>
  </si>
  <si>
    <t>数码管</t>
  </si>
  <si>
    <t>FALSE</t>
    <phoneticPr fontId="30" type="noConversion"/>
  </si>
  <si>
    <t>产品要求哪些状态显示方式</t>
    <phoneticPr fontId="30" type="noConversion"/>
  </si>
  <si>
    <t>供货是否包含显示类配件</t>
    <phoneticPr fontId="30" type="noConversion"/>
  </si>
  <si>
    <t>是否指定显示类配件的选型规格参数</t>
    <phoneticPr fontId="30" type="noConversion"/>
  </si>
  <si>
    <t>请选择直流输入电压</t>
    <phoneticPr fontId="30" type="noConversion"/>
  </si>
  <si>
    <t>DC12V</t>
    <phoneticPr fontId="30" type="noConversion"/>
  </si>
  <si>
    <t>DC24V</t>
    <phoneticPr fontId="30" type="noConversion"/>
  </si>
  <si>
    <t>AC90~264V</t>
    <phoneticPr fontId="30" type="noConversion"/>
  </si>
  <si>
    <t>90~264V</t>
    <phoneticPr fontId="30" type="noConversion"/>
  </si>
  <si>
    <t>DC36V</t>
    <phoneticPr fontId="30" type="noConversion"/>
  </si>
  <si>
    <t>DC48V</t>
    <phoneticPr fontId="30" type="noConversion"/>
  </si>
  <si>
    <t>客户成像端是否有摄像系统参与</t>
    <phoneticPr fontId="30" type="noConversion"/>
  </si>
  <si>
    <t>单行文本</t>
  </si>
  <si>
    <t>多行文本</t>
    <phoneticPr fontId="30" type="noConversion"/>
  </si>
  <si>
    <t>单行文本</t>
    <phoneticPr fontId="30" type="noConversion"/>
  </si>
  <si>
    <t>正负</t>
    <phoneticPr fontId="30" type="noConversion"/>
  </si>
  <si>
    <t>下限</t>
    <phoneticPr fontId="30" type="noConversion"/>
  </si>
  <si>
    <t>范围</t>
    <phoneticPr fontId="30" type="noConversion"/>
  </si>
  <si>
    <t>上限</t>
    <phoneticPr fontId="30" type="noConversion"/>
  </si>
  <si>
    <t>该项目我司负责哪些功能模块的设计与生产，即我们卖什么？</t>
    <phoneticPr fontId="30" type="noConversion"/>
  </si>
  <si>
    <t>产品是作为局部模组集成到客户产品上，还是以成品机箱形式供用户直接使用？</t>
    <phoneticPr fontId="30" type="noConversion"/>
  </si>
  <si>
    <t>产品是否需要与导光束进行协同？</t>
    <phoneticPr fontId="30" type="noConversion"/>
  </si>
  <si>
    <t>导光束作为光源给我司产品提供光，还是导光束作为传输工具参与我司产品对光的处理，还是我司产品需要将光输出给导光束？</t>
    <phoneticPr fontId="30" type="noConversion"/>
  </si>
  <si>
    <t>导光束是否作为产品的一部分卖给客户？</t>
    <phoneticPr fontId="30" type="noConversion"/>
  </si>
  <si>
    <t>DC</t>
    <phoneticPr fontId="30" type="noConversion"/>
  </si>
  <si>
    <t>CDC</t>
    <phoneticPr fontId="30" type="noConversion"/>
  </si>
  <si>
    <t>CD</t>
    <phoneticPr fontId="30" type="noConversion"/>
  </si>
  <si>
    <t>导光束→产品→导光束</t>
    <phoneticPr fontId="30" type="noConversion"/>
  </si>
  <si>
    <t>产品→导光束→产品→导光束</t>
    <phoneticPr fontId="30" type="noConversion"/>
  </si>
  <si>
    <t>DCD</t>
    <phoneticPr fontId="30" type="noConversion"/>
  </si>
  <si>
    <t>CDCD</t>
    <phoneticPr fontId="30" type="noConversion"/>
  </si>
  <si>
    <t>文件引用配置</t>
    <phoneticPr fontId="30" type="noConversion"/>
  </si>
  <si>
    <t>是否指定导光束转接座材料及表面工艺</t>
    <phoneticPr fontId="30" type="noConversion"/>
  </si>
  <si>
    <t>填写客户指定的具体材料或表面工艺要求。</t>
    <phoneticPr fontId="30" type="noConversion"/>
  </si>
  <si>
    <t>我司转接座材料及表面工艺默认：6061铝合金，100目喷砂，原色阳极氧化；如果客户有其它要求的工艺，请选“是”。</t>
    <phoneticPr fontId="30" type="noConversion"/>
  </si>
  <si>
    <t>我司转接座有默认的设计形式，是否符合客户使用场景？如果客户有形状或尺寸方面的具体定制要求，请选“是”。</t>
    <phoneticPr fontId="30" type="noConversion"/>
  </si>
  <si>
    <t>填写客户指定转接座形状尺寸要求，最好附上图纸说明。</t>
    <phoneticPr fontId="30" type="noConversion"/>
  </si>
  <si>
    <t>我司默认使用自己的导光束头部治具做插拔拉力测试，如果客户对导光束插拔力要求较高，则需要客户提供导光束做专门的拉力测试。</t>
    <phoneticPr fontId="30" type="noConversion"/>
  </si>
  <si>
    <t>我司默认的拉力合格标准为：11~15N，如果客户需要指定合格标准，请选“是”。</t>
    <phoneticPr fontId="30" type="noConversion"/>
  </si>
  <si>
    <t>填写客户指定的转接座插拔拉力合格标准。</t>
    <phoneticPr fontId="30" type="noConversion"/>
  </si>
  <si>
    <t>与客户协商好转接座与产品主体是否装一起发货，还是分拆配好螺丝客户自己装配，包括包装装箱方式。</t>
    <phoneticPr fontId="30" type="noConversion"/>
  </si>
  <si>
    <t>普通无检测</t>
    <phoneticPr fontId="30" type="noConversion"/>
  </si>
  <si>
    <t>大部分单白光模组默认支持机械悬臂检测，也可定制为接近开关检测；大部分荧光模组默认支持接近开关检测；新项目需要检测的情况下推荐接近开关检测；</t>
    <phoneticPr fontId="30" type="noConversion"/>
  </si>
  <si>
    <t>有特殊逻辑</t>
    <phoneticPr fontId="30" type="noConversion"/>
  </si>
  <si>
    <t>导光束插拔影响所有光源</t>
    <phoneticPr fontId="30" type="noConversion"/>
  </si>
  <si>
    <t>取名力求简单明了，如：蓝光、R光、450nm光等。</t>
    <phoneticPr fontId="30" type="noConversion"/>
  </si>
  <si>
    <t>产品需要多少个单色光输出。</t>
    <phoneticPr fontId="30" type="noConversion"/>
  </si>
  <si>
    <t>站在客户使用场景考虑，产品是否需要输出单色光，注意RGB合白光不算单色光（即使内部需要单色光源，但客户使用场景只用合白光模式）；例如：红光、绿光、紫光等。</t>
    <phoneticPr fontId="30" type="noConversion"/>
  </si>
  <si>
    <t>产品是否需要输出白光，不管是荧光白光，还是RGB合白光，均属于白光。</t>
    <phoneticPr fontId="30" type="noConversion"/>
  </si>
  <si>
    <t>产品需要多少个白光输出，例如同一个产品，但需要输出不同色温的白光，一种色温算一种。</t>
    <phoneticPr fontId="30" type="noConversion"/>
  </si>
  <si>
    <t>取名力求简单明了，例如：暖白光、冷白光，5500K白光、6500K白光等。</t>
    <phoneticPr fontId="30" type="noConversion"/>
  </si>
  <si>
    <t>亮度</t>
    <phoneticPr fontId="30" type="noConversion"/>
  </si>
  <si>
    <t>多行文本</t>
    <phoneticPr fontId="30" type="noConversion"/>
  </si>
  <si>
    <t>请仔细询问下列光参数里，哪些是客户关注并在入厂检时会检测的。</t>
    <phoneticPr fontId="30" type="noConversion"/>
  </si>
  <si>
    <t>请仔细询问下列YY1081-2011标准特有光参数，哪些是客户关注并在入厂检时会检测的。</t>
    <phoneticPr fontId="30" type="noConversion"/>
  </si>
  <si>
    <t>多选</t>
    <phoneticPr fontId="30" type="noConversion"/>
  </si>
  <si>
    <t>FALSE</t>
    <phoneticPr fontId="30" type="noConversion"/>
  </si>
  <si>
    <t>光通量</t>
    <phoneticPr fontId="30" type="noConversion"/>
  </si>
  <si>
    <t>相对色温CCT</t>
    <phoneticPr fontId="30" type="noConversion"/>
  </si>
  <si>
    <t>CRI显指Ra</t>
    <phoneticPr fontId="30" type="noConversion"/>
  </si>
  <si>
    <t>50%光通量</t>
    <phoneticPr fontId="30" type="noConversion"/>
  </si>
  <si>
    <t>50%CCT</t>
    <phoneticPr fontId="30" type="noConversion"/>
  </si>
  <si>
    <t>50%Ra</t>
    <phoneticPr fontId="30" type="noConversion"/>
  </si>
  <si>
    <t>50%红绿比</t>
    <phoneticPr fontId="30" type="noConversion"/>
  </si>
  <si>
    <t>50%蓝绿比</t>
    <phoneticPr fontId="30" type="noConversion"/>
  </si>
  <si>
    <t>按YY1081-2011标准要求，光通量、相对色温、显色指数、红绿辐通量比、蓝绿辐通量比需要在100%与50%亮度情况下均满足声称的规格标准要求</t>
    <phoneticPr fontId="30" type="noConversion"/>
  </si>
  <si>
    <t>是否限定产品IP防护等级</t>
    <phoneticPr fontId="30" type="noConversion"/>
  </si>
  <si>
    <t>填写客户要求的防护等级，例如：IP65。</t>
    <phoneticPr fontId="30" type="noConversion"/>
  </si>
  <si>
    <t>是否限制产品出光口位置</t>
    <phoneticPr fontId="30" type="noConversion"/>
  </si>
  <si>
    <t>是否指定产品出线位置，选“是”则需要附图纸或图片说明。</t>
    <phoneticPr fontId="30" type="noConversion"/>
  </si>
  <si>
    <t>是否指定产品出光口相对位置，选“是”则需要附图纸或图片说明。</t>
    <phoneticPr fontId="30" type="noConversion"/>
  </si>
  <si>
    <t>是否指定产品外形尺寸或安装孔尺寸，选“是”则需要附图纸或图片说明。</t>
    <phoneticPr fontId="30" type="noConversion"/>
  </si>
  <si>
    <t>是否限定产品的防护等级，即防固体异物、液体进入的能力。</t>
    <phoneticPr fontId="30" type="noConversion"/>
  </si>
  <si>
    <t>是否限定产品工作时的外表面温度或温升。</t>
    <phoneticPr fontId="30" type="noConversion"/>
  </si>
  <si>
    <t>是否限定产品工作时允许产生的噪声上限。</t>
    <phoneticPr fontId="30" type="noConversion"/>
  </si>
  <si>
    <t>是否指定产品进出风位置与方向，选“是”则需要附图纸或图片说明。</t>
    <phoneticPr fontId="30" type="noConversion"/>
  </si>
  <si>
    <t>请说明指定的外观颜色，颜色需客户提供色号或色样，并限定色差范围。</t>
    <phoneticPr fontId="30" type="noConversion"/>
  </si>
  <si>
    <t>是否指定产品外观颜色？</t>
    <phoneticPr fontId="30" type="noConversion"/>
  </si>
  <si>
    <t>是否指定产品表面工艺</t>
    <phoneticPr fontId="30" type="noConversion"/>
  </si>
  <si>
    <t>是否指定产品表面处理工艺，特别是要求表面导电氧化。</t>
    <phoneticPr fontId="30" type="noConversion"/>
  </si>
  <si>
    <t>请详细说明指定的表面处理工艺要求。</t>
    <phoneticPr fontId="30" type="noConversion"/>
  </si>
  <si>
    <t>是否限定产品重量上限值？</t>
    <phoneticPr fontId="30" type="noConversion"/>
  </si>
  <si>
    <t>我司常规产品默认使用普通无调速功能风扇，特殊需要才会应用调速风扇，客户是否指定必须使用调速风扇?</t>
    <phoneticPr fontId="30" type="noConversion"/>
  </si>
  <si>
    <t>是否指定产品使用的风扇类型、规格、数量、线长等规格参数?</t>
    <phoneticPr fontId="30" type="noConversion"/>
  </si>
  <si>
    <t>是否限定产品散热器类型与尺寸</t>
    <phoneticPr fontId="30" type="noConversion"/>
  </si>
  <si>
    <t>填写客户指定的风扇规格要求、数量等。</t>
    <phoneticPr fontId="30" type="noConversion"/>
  </si>
  <si>
    <t>是否指定散热器的类型与尺寸？例如：铝型材散热器、铜管散热器、压铸铝合金散热器等。</t>
    <phoneticPr fontId="30" type="noConversion"/>
  </si>
  <si>
    <t>填写客户指定的散热器类别与尺寸要求、数量等。</t>
    <phoneticPr fontId="30" type="noConversion"/>
  </si>
  <si>
    <t>选择产品电源输入类型，模组一般用直流，成品机箱一般用交流。</t>
    <phoneticPr fontId="30" type="noConversion"/>
  </si>
  <si>
    <t>选择直流输入电压，这个需要跟客户配合确认。</t>
    <phoneticPr fontId="30" type="noConversion"/>
  </si>
  <si>
    <t>请确认交流输入电压</t>
    <phoneticPr fontId="30" type="noConversion"/>
  </si>
  <si>
    <t>90~264V宽电压范围基本可以覆各国要求</t>
    <phoneticPr fontId="30" type="noConversion"/>
  </si>
  <si>
    <t>客户成像端有摄像系统参与就意味着产品不止用于为人眼观察提供照明，摄像系统能捕捉到更高频率的照明闪烁，这将影响驱动输出方案的选择。</t>
    <phoneticPr fontId="30" type="noConversion"/>
  </si>
  <si>
    <t>驱动板模拟输出将导致光源输出色温随调光档位变化幅度较大，但可以杜绝摄像系统成像出现闪烁条纹问题；如果拒绝该方案，将采用PWM输出方案，客户得自己考虑如何解决闪烁条纹问题。</t>
    <phoneticPr fontId="30" type="noConversion"/>
  </si>
  <si>
    <t>是否限制产品整体功耗</t>
    <phoneticPr fontId="30" type="noConversion"/>
  </si>
  <si>
    <t>是否限制产品工作时的功耗上限值。通常出现在客户整机系统功率分配已经计划好，且不好不愿调整。</t>
    <phoneticPr fontId="30" type="noConversion"/>
  </si>
  <si>
    <t>是否指定产品驱动板外形尺寸与安装孔尺寸，选“是”则需要附图纸或图片说明。</t>
    <phoneticPr fontId="30" type="noConversion"/>
  </si>
  <si>
    <t>是否指定驱动板使用某种类型的接口或某个特定的接口型号规格？</t>
    <phoneticPr fontId="30" type="noConversion"/>
  </si>
  <si>
    <t>填写具体接口规格要求。</t>
    <phoneticPr fontId="30" type="noConversion"/>
  </si>
  <si>
    <t>选择产品控制模式。</t>
    <phoneticPr fontId="30" type="noConversion"/>
  </si>
  <si>
    <t>产品供货时，是否包含控制操作时需要使用的配件，例如：按钮、电位器、触摸屏等等。</t>
    <phoneticPr fontId="30" type="noConversion"/>
  </si>
  <si>
    <t>是否指定供货的控制操作类配件的具体规格型号。</t>
    <phoneticPr fontId="30" type="noConversion"/>
  </si>
  <si>
    <t>填写具体规格型号要求，必要时附上配件图纸或规格书。</t>
    <phoneticPr fontId="30" type="noConversion"/>
  </si>
  <si>
    <t>是否要求产品使用某些器件来显示功能状态，例如：指示灯、显示屏等等。</t>
    <phoneticPr fontId="30" type="noConversion"/>
  </si>
  <si>
    <t>选择用于产品功能状态显示的配件</t>
    <phoneticPr fontId="30" type="noConversion"/>
  </si>
  <si>
    <t>批量供货是否需要包含显示类配件，例如：指示灯、显示屏等等。</t>
    <phoneticPr fontId="30" type="noConversion"/>
  </si>
  <si>
    <t>选择批量供货时配套的显示类配件。</t>
    <phoneticPr fontId="30" type="noConversion"/>
  </si>
  <si>
    <t>是否指定配套的显示类配件的具体规格型号。</t>
    <phoneticPr fontId="30" type="noConversion"/>
  </si>
  <si>
    <t>详细列明指定的显示类配件规格信息，必要时提供配件规格书。</t>
    <phoneticPr fontId="30" type="noConversion"/>
  </si>
  <si>
    <t>是否要求产品具备定期校正光参数的功能。</t>
    <phoneticPr fontId="30" type="noConversion"/>
  </si>
  <si>
    <t>是否要求产品具备使用传感器实现闭环反馈控制的功能。</t>
    <phoneticPr fontId="30" type="noConversion"/>
  </si>
  <si>
    <t>填写具体校正逻辑功能要求，说明如何校正。</t>
    <phoneticPr fontId="30" type="noConversion"/>
  </si>
  <si>
    <t>填写具体闭环反馈控制功能逻辑要求。</t>
    <phoneticPr fontId="30" type="noConversion"/>
  </si>
  <si>
    <t>研发部只负责EMC摸底测试，EMC与其它认证证书都需要向质量部申请安排正式第三方测试，才能出证。</t>
    <phoneticPr fontId="30" type="noConversion"/>
  </si>
  <si>
    <t>是否指定产品调光范围与调光步距。</t>
    <phoneticPr fontId="30" type="noConversion"/>
  </si>
  <si>
    <t>填写具体调光范围要求。</t>
    <phoneticPr fontId="30" type="noConversion"/>
  </si>
  <si>
    <t>填写具体调光步距要求。</t>
    <phoneticPr fontId="30" type="noConversion"/>
  </si>
  <si>
    <t>是否要求产品具备频闪/脉冲形式输出功能？</t>
    <phoneticPr fontId="30" type="noConversion"/>
  </si>
  <si>
    <t>填写具体频闪/脉冲输出的技术要求。</t>
    <phoneticPr fontId="30" type="noConversion"/>
  </si>
  <si>
    <t>是否指定调速风扇的工作逻辑，即调速逻辑？</t>
    <phoneticPr fontId="30" type="noConversion"/>
  </si>
  <si>
    <t>填写具体调速风扇的调速逻辑。</t>
    <phoneticPr fontId="30" type="noConversion"/>
  </si>
  <si>
    <t>填写详细的超温报警保护温度与保护逻辑。</t>
    <phoneticPr fontId="30" type="noConversion"/>
  </si>
  <si>
    <t>转接座材料及表面工艺要求</t>
    <phoneticPr fontId="30" type="noConversion"/>
  </si>
  <si>
    <t>转接座形状尺寸要求</t>
    <phoneticPr fontId="30" type="noConversion"/>
  </si>
  <si>
    <t>客户要求的转接座拉力测试合格标准</t>
    <phoneticPr fontId="30" type="noConversion"/>
  </si>
  <si>
    <t>峰值波长要求</t>
    <phoneticPr fontId="30" type="noConversion"/>
  </si>
  <si>
    <t>主波长要求</t>
    <phoneticPr fontId="30" type="noConversion"/>
  </si>
  <si>
    <t>半峰全宽要求</t>
    <phoneticPr fontId="30" type="noConversion"/>
  </si>
  <si>
    <t>光通量要求</t>
    <phoneticPr fontId="30" type="noConversion"/>
  </si>
  <si>
    <t>光功率要求</t>
    <phoneticPr fontId="30" type="noConversion"/>
  </si>
  <si>
    <t>照度要求</t>
    <phoneticPr fontId="30" type="noConversion"/>
  </si>
  <si>
    <t>辐照度要求</t>
    <phoneticPr fontId="30" type="noConversion"/>
  </si>
  <si>
    <t>光斑尺寸要求</t>
    <phoneticPr fontId="30" type="noConversion"/>
  </si>
  <si>
    <t>光斑均匀性要求</t>
    <phoneticPr fontId="30" type="noConversion"/>
  </si>
  <si>
    <t>光强要求</t>
    <phoneticPr fontId="30" type="noConversion"/>
  </si>
  <si>
    <t>辐射强度要求</t>
    <phoneticPr fontId="30" type="noConversion"/>
  </si>
  <si>
    <t>亮度要求</t>
    <phoneticPr fontId="30" type="noConversion"/>
  </si>
  <si>
    <t>光束全角要求</t>
    <phoneticPr fontId="30" type="noConversion"/>
  </si>
  <si>
    <t>视场全角要求</t>
    <phoneticPr fontId="30" type="noConversion"/>
  </si>
  <si>
    <t>相关色温CCT要求</t>
    <phoneticPr fontId="30" type="noConversion"/>
  </si>
  <si>
    <t>CRI显指Ra要求</t>
    <phoneticPr fontId="30" type="noConversion"/>
  </si>
  <si>
    <t>CRI显指R9要求</t>
    <phoneticPr fontId="30" type="noConversion"/>
  </si>
  <si>
    <t>色坐标CIExy要求</t>
    <phoneticPr fontId="30" type="noConversion"/>
  </si>
  <si>
    <t>色坐标CIEuv</t>
    <phoneticPr fontId="30" type="noConversion"/>
  </si>
  <si>
    <t>CIEuv</t>
    <phoneticPr fontId="30" type="noConversion"/>
  </si>
  <si>
    <t>色坐标CIEuv要求</t>
    <phoneticPr fontId="30" type="noConversion"/>
  </si>
  <si>
    <t>红绿辐通量比要求</t>
    <phoneticPr fontId="30" type="noConversion"/>
  </si>
  <si>
    <t>蓝绿辐通量比要求</t>
    <phoneticPr fontId="30" type="noConversion"/>
  </si>
  <si>
    <t>红外截止性能要求</t>
    <phoneticPr fontId="30" type="noConversion"/>
  </si>
  <si>
    <t>光照均匀性要求</t>
    <phoneticPr fontId="30" type="noConversion"/>
  </si>
  <si>
    <t>照度超限点要求</t>
    <phoneticPr fontId="30" type="noConversion"/>
  </si>
  <si>
    <t>产品工作环境温度要求</t>
    <phoneticPr fontId="30" type="noConversion"/>
  </si>
  <si>
    <t>产品工作环境相对湿度要求</t>
    <phoneticPr fontId="30" type="noConversion"/>
  </si>
  <si>
    <t>产品工作时噪声的限定要求</t>
    <phoneticPr fontId="30" type="noConversion"/>
  </si>
  <si>
    <t>产品外表面温升/温度要求</t>
    <phoneticPr fontId="30" type="noConversion"/>
  </si>
  <si>
    <t>IP防护等级要求</t>
    <phoneticPr fontId="30" type="noConversion"/>
  </si>
  <si>
    <t>产品外观颜色要求</t>
    <phoneticPr fontId="30" type="noConversion"/>
  </si>
  <si>
    <t>产品表面工艺要求</t>
    <phoneticPr fontId="30" type="noConversion"/>
  </si>
  <si>
    <t>产品重量要求</t>
    <phoneticPr fontId="30" type="noConversion"/>
  </si>
  <si>
    <t>具体的散热器技术要求</t>
    <phoneticPr fontId="30" type="noConversion"/>
  </si>
  <si>
    <t>产品功耗要求</t>
    <phoneticPr fontId="30" type="noConversion"/>
  </si>
  <si>
    <t>具体的显示类配件选型规格要求</t>
    <phoneticPr fontId="30" type="noConversion"/>
  </si>
  <si>
    <t>客户对定期校正功能的要求</t>
    <phoneticPr fontId="30" type="noConversion"/>
  </si>
  <si>
    <t>客户对闭环反馈控制功能的要求</t>
    <phoneticPr fontId="30" type="noConversion"/>
  </si>
  <si>
    <t>具体的调光范围要求</t>
    <phoneticPr fontId="30" type="noConversion"/>
  </si>
  <si>
    <t>具体的调光步距要求</t>
    <phoneticPr fontId="30" type="noConversion"/>
  </si>
  <si>
    <t>具体的频闪技术要求</t>
    <phoneticPr fontId="30" type="noConversion"/>
  </si>
  <si>
    <t>具体的调速风扇工作逻辑要求</t>
    <phoneticPr fontId="30" type="noConversion"/>
  </si>
  <si>
    <t>具体的超温报警温度与保护逻辑要求</t>
    <phoneticPr fontId="30" type="noConversion"/>
  </si>
  <si>
    <t>节点序号</t>
    <phoneticPr fontId="30" type="noConversion"/>
  </si>
  <si>
    <t>自动统计</t>
    <phoneticPr fontId="30" type="noConversion"/>
  </si>
  <si>
    <t>手动记录历史最大值（防止误删而自动统计没暴露）</t>
    <phoneticPr fontId="30" type="noConversion"/>
  </si>
  <si>
    <t>固定唯一码</t>
    <phoneticPr fontId="30" type="noConversion"/>
  </si>
  <si>
    <t>涉及</t>
    <phoneticPr fontId="30" type="noConversion"/>
  </si>
  <si>
    <t>不涉及</t>
    <phoneticPr fontId="30" type="noConversion"/>
  </si>
  <si>
    <t>None</t>
    <phoneticPr fontId="30" type="noConversion"/>
  </si>
  <si>
    <t>导光束输入端通光口径</t>
    <phoneticPr fontId="30" type="noConversion"/>
  </si>
  <si>
    <t>导光束输出端通光口径</t>
    <phoneticPr fontId="30" type="noConversion"/>
  </si>
  <si>
    <t>导光束NA值</t>
    <phoneticPr fontId="30" type="noConversion"/>
  </si>
  <si>
    <t>填写客户要求的相对湿度（RH）上下限，一般用百分比表示。</t>
  </si>
  <si>
    <t>配导光束</t>
    <phoneticPr fontId="30" type="noConversion"/>
  </si>
  <si>
    <t>是否购买我司导光束转接座</t>
    <phoneticPr fontId="30" type="noConversion"/>
  </si>
  <si>
    <t>是否指定或提供导光束做出厂光参数测试</t>
    <phoneticPr fontId="30" type="noConversion"/>
  </si>
  <si>
    <t>产品生产出来后，在做光参数测试时，客户是否指定或提供导光束来测，而不是由我司自行决定？</t>
    <phoneticPr fontId="30" type="noConversion"/>
  </si>
  <si>
    <t>填写客户指定的导光束及测试参数，例如：客供3米导光束测：光通量，显色指数；其余光参数用我司1米导光束测试。</t>
    <phoneticPr fontId="30" type="noConversion"/>
  </si>
  <si>
    <t>指定或提供的导光束检测哪些光参数</t>
    <phoneticPr fontId="30" type="noConversion"/>
  </si>
  <si>
    <t>我司导光束转接座头部旋帽默认会有点胶处理，防止松脱掉，而部分客户要求不点胶出货，他们自行装配后自己点胶。</t>
    <phoneticPr fontId="30" type="noConversion"/>
  </si>
  <si>
    <t>转接座旋帽不点胶</t>
    <phoneticPr fontId="30" type="noConversion"/>
  </si>
  <si>
    <t>是否提供导光束做转接座拉力出厂测试</t>
    <phoneticPr fontId="30" type="noConversion"/>
  </si>
  <si>
    <t>与产品主体“装一起”包装</t>
    <phoneticPr fontId="30" type="noConversion"/>
  </si>
  <si>
    <t>与产品主体“分拆”装同箱</t>
    <phoneticPr fontId="30" type="noConversion"/>
  </si>
  <si>
    <t>与产品主体“分箱”包装</t>
    <phoneticPr fontId="30" type="noConversion"/>
  </si>
  <si>
    <t>导光束转接座是否要求具备插拔检测功能</t>
    <phoneticPr fontId="30" type="noConversion"/>
  </si>
  <si>
    <t>悬臂检测</t>
    <phoneticPr fontId="30" type="noConversion"/>
  </si>
  <si>
    <t>接近开关检测</t>
    <phoneticPr fontId="30" type="noConversion"/>
  </si>
  <si>
    <t>分拆装同箱</t>
    <phoneticPr fontId="30" type="noConversion"/>
  </si>
  <si>
    <t>装一起包装</t>
    <phoneticPr fontId="30" type="noConversion"/>
  </si>
  <si>
    <t>分箱包装</t>
    <phoneticPr fontId="30" type="noConversion"/>
  </si>
  <si>
    <t>普通无检测</t>
    <phoneticPr fontId="30" type="noConversion"/>
  </si>
  <si>
    <t>导光束插拔影响哪些光源的亮灭，“影响所有光源”代表：拔出导光束所有光源灭，插入导光束所有光源亮；其它情况选“有特殊逻辑”</t>
    <phoneticPr fontId="30" type="noConversion"/>
  </si>
  <si>
    <t>导光束插拔影响的光源与处理逻辑</t>
    <phoneticPr fontId="30" type="noConversion"/>
  </si>
  <si>
    <t>导光束插拔处理逻辑</t>
    <phoneticPr fontId="30" type="noConversion"/>
  </si>
  <si>
    <t>详细罗列客户指定的导光束插拔处理逻辑，例如：插拔指控制白光，激光不受影响。</t>
    <phoneticPr fontId="30" type="noConversion"/>
  </si>
  <si>
    <t>下列哪些白光或混合光参数客户进行限制</t>
    <phoneticPr fontId="30" type="noConversion"/>
  </si>
  <si>
    <t>光谱峰值比</t>
    <phoneticPr fontId="30" type="noConversion"/>
  </si>
  <si>
    <t>光谱峰值比要求</t>
    <phoneticPr fontId="30" type="noConversion"/>
  </si>
  <si>
    <t>产品是否需要输出特定混合光</t>
    <phoneticPr fontId="30" type="noConversion"/>
  </si>
  <si>
    <t>产品需要多少个白光或特定混合光输出</t>
    <phoneticPr fontId="30" type="noConversion"/>
  </si>
  <si>
    <t>请给各输出白光或特定混合光取名</t>
    <phoneticPr fontId="30" type="noConversion"/>
  </si>
  <si>
    <t>请给各输出单色光取名</t>
    <phoneticPr fontId="30" type="noConversion"/>
  </si>
  <si>
    <t>特定混合光</t>
    <phoneticPr fontId="30" type="noConversion"/>
  </si>
  <si>
    <t>产品是否需要输出特定混合光，“特定”指的是需要在某些光参数方面做特定要求、由我司控制光源实现的混合光；客户通过单色光自由混合实现的除外。</t>
    <phoneticPr fontId="30" type="noConversion"/>
  </si>
  <si>
    <t>如果属于内窥镜冷光源，则需要考虑行业标准YY1081-2011的一些合规性技术要求。</t>
    <phoneticPr fontId="30" type="noConversion"/>
  </si>
  <si>
    <t>产品以{V}形态交付</t>
  </si>
  <si>
    <t>由{V}，共{N}个功能模块组成</t>
  </si>
  <si>
    <t>产品{V}导光束</t>
  </si>
  <si>
    <t>导光束限定要求：{V}</t>
  </si>
  <si>
    <t>转接座材料及表面工艺要求：{V}</t>
  </si>
  <si>
    <t>转接座外形尺寸要求：{V}</t>
  </si>
  <si>
    <t>转接座与主体{V}</t>
  </si>
  <si>
    <t>转接座选用{V}类</t>
  </si>
  <si>
    <t>插拔处理逻辑要求：{V}</t>
  </si>
  <si>
    <t>共要求{V}个单色光输出</t>
  </si>
  <si>
    <t>共要求{V}个白光或混合光输出</t>
  </si>
  <si>
    <t>白光或混合光对{V}等光参数进行了限制</t>
    <phoneticPr fontId="30" type="noConversion"/>
  </si>
  <si>
    <t>R9</t>
    <phoneticPr fontId="30" type="noConversion"/>
  </si>
  <si>
    <t>尽量与客户做清晰的约定</t>
    <phoneticPr fontId="30" type="noConversion"/>
  </si>
  <si>
    <t>产品工作环境相对湿度：{V}~{T}</t>
    <phoneticPr fontId="30" type="noConversion"/>
  </si>
  <si>
    <t>产品工作噪声上限：{V}</t>
    <phoneticPr fontId="30" type="noConversion"/>
  </si>
  <si>
    <t>产品IP防护等级要求：{V}</t>
    <phoneticPr fontId="30" type="noConversion"/>
  </si>
  <si>
    <t>产品外观颜色要求：{V}</t>
    <phoneticPr fontId="30" type="noConversion"/>
  </si>
  <si>
    <t>产品表面工艺要求：{V}</t>
    <phoneticPr fontId="30" type="noConversion"/>
  </si>
  <si>
    <t>产品重量上限：{V}</t>
    <phoneticPr fontId="30" type="noConversion"/>
  </si>
  <si>
    <t>是否指定产品风扇类型、规格、数量、线长、连接器</t>
    <phoneticPr fontId="30" type="noConversion"/>
  </si>
  <si>
    <t>具体风扇规格、数量、线长、连接器要求</t>
    <phoneticPr fontId="30" type="noConversion"/>
  </si>
  <si>
    <t>产品选型、数量、线长、连接器要求：{V}</t>
    <phoneticPr fontId="30" type="noConversion"/>
  </si>
  <si>
    <t>产品散热器要求：{V}</t>
    <phoneticPr fontId="30" type="noConversion"/>
  </si>
  <si>
    <t>直流输入电压：{V}</t>
    <phoneticPr fontId="30" type="noConversion"/>
  </si>
  <si>
    <t>12V</t>
    <phoneticPr fontId="30" type="noConversion"/>
  </si>
  <si>
    <t>24V</t>
    <phoneticPr fontId="30" type="noConversion"/>
  </si>
  <si>
    <t>36V</t>
    <phoneticPr fontId="30" type="noConversion"/>
  </si>
  <si>
    <t>48V</t>
    <phoneticPr fontId="30" type="noConversion"/>
  </si>
  <si>
    <t>交流输入电压：{V}</t>
    <phoneticPr fontId="30" type="noConversion"/>
  </si>
  <si>
    <t>驱动板采用模拟输出方案，客户是否接受</t>
    <phoneticPr fontId="30" type="noConversion"/>
  </si>
  <si>
    <t>驱动板采用PWM输出方案，客户是否接受</t>
    <phoneticPr fontId="30" type="noConversion"/>
  </si>
  <si>
    <t>产品功耗上限：{V}</t>
    <phoneticPr fontId="30" type="noConversion"/>
  </si>
  <si>
    <t>是否指定产品/驱动板接口类型或规格</t>
    <phoneticPr fontId="30" type="noConversion"/>
  </si>
  <si>
    <t>产品/驱动板接口要求</t>
    <phoneticPr fontId="30" type="noConversion"/>
  </si>
  <si>
    <t>产品/驱动板接口要求：{V}</t>
    <phoneticPr fontId="30" type="noConversion"/>
  </si>
  <si>
    <t>产品采用{V}控制模式</t>
    <phoneticPr fontId="30" type="noConversion"/>
  </si>
  <si>
    <t>供货是否包含操控类配件</t>
    <phoneticPr fontId="30" type="noConversion"/>
  </si>
  <si>
    <t>以下哪些操控类配件需要随货提供</t>
    <phoneticPr fontId="30" type="noConversion"/>
  </si>
  <si>
    <t>选择批量供货时具体提供的操控类配件。</t>
    <phoneticPr fontId="30" type="noConversion"/>
  </si>
  <si>
    <t>是否指定操控类配件的选型规格参数</t>
    <phoneticPr fontId="30" type="noConversion"/>
  </si>
  <si>
    <t>具体的操控类配件选型规格要求</t>
    <phoneticPr fontId="30" type="noConversion"/>
  </si>
  <si>
    <t>随货提供{V}等操控类配件</t>
    <phoneticPr fontId="30" type="noConversion"/>
  </si>
  <si>
    <t>操控类配件规格要求：{V}</t>
    <phoneticPr fontId="30" type="noConversion"/>
  </si>
  <si>
    <t>是否要求具备状态显示界面</t>
    <phoneticPr fontId="30" type="noConversion"/>
  </si>
  <si>
    <t>采用{V}等方式做状态显示设计</t>
    <phoneticPr fontId="30" type="noConversion"/>
  </si>
  <si>
    <t>随货提供{V}等显示类配件</t>
    <phoneticPr fontId="30" type="noConversion"/>
  </si>
  <si>
    <t>显示类配件规格要求：{V}</t>
    <phoneticPr fontId="30" type="noConversion"/>
  </si>
  <si>
    <t>定期校正功能要求：{V}</t>
    <phoneticPr fontId="30" type="noConversion"/>
  </si>
  <si>
    <t>闭环反馈控制要求：{V}</t>
    <phoneticPr fontId="30" type="noConversion"/>
  </si>
  <si>
    <t>证书要求：{V}</t>
    <phoneticPr fontId="30" type="noConversion"/>
  </si>
  <si>
    <t>要求调光范围：{V}</t>
    <phoneticPr fontId="30" type="noConversion"/>
  </si>
  <si>
    <t>要求调光步距：{V}</t>
    <phoneticPr fontId="30" type="noConversion"/>
  </si>
  <si>
    <t>频闪技术要求：{V}</t>
    <phoneticPr fontId="30" type="noConversion"/>
  </si>
  <si>
    <t>调速风扇工作逻辑要求：{V}</t>
    <phoneticPr fontId="30" type="noConversion"/>
  </si>
  <si>
    <t>超温报警温度与保护逻辑：{V}</t>
    <phoneticPr fontId="30" type="noConversion"/>
  </si>
  <si>
    <t>请提供剩余产品结构补充需求</t>
    <phoneticPr fontId="30" type="noConversion"/>
  </si>
  <si>
    <t>请提供剩余产品硬件补充需求</t>
    <phoneticPr fontId="30" type="noConversion"/>
  </si>
  <si>
    <t>请提供剩余产品软件补充需求</t>
    <phoneticPr fontId="30" type="noConversion"/>
  </si>
  <si>
    <t>最后请提供剩余产品工艺补充需求</t>
    <phoneticPr fontId="30" type="noConversion"/>
  </si>
  <si>
    <t>补充结构要求：{V}</t>
    <phoneticPr fontId="30" type="noConversion"/>
  </si>
  <si>
    <t>补充硬件要求：{V}</t>
    <phoneticPr fontId="30" type="noConversion"/>
  </si>
  <si>
    <t>补充软件要求：{V}</t>
    <phoneticPr fontId="30" type="noConversion"/>
  </si>
  <si>
    <t>补充工艺要求：{V}</t>
    <phoneticPr fontId="30" type="noConversion"/>
  </si>
  <si>
    <t>无导光束</t>
    <phoneticPr fontId="30" type="noConversion"/>
  </si>
  <si>
    <t>接近开关</t>
    <phoneticPr fontId="30" type="noConversion"/>
  </si>
  <si>
    <t>悬臂</t>
    <phoneticPr fontId="30" type="noConversion"/>
  </si>
  <si>
    <t>普通</t>
    <phoneticPr fontId="30" type="noConversion"/>
  </si>
  <si>
    <t>选项展示组</t>
    <phoneticPr fontId="30" type="noConversion"/>
  </si>
  <si>
    <t>1</t>
    <phoneticPr fontId="30" type="noConversion"/>
  </si>
  <si>
    <t>全员</t>
    <phoneticPr fontId="30" type="noConversion"/>
  </si>
  <si>
    <t>选项查阅整理要求</t>
    <phoneticPr fontId="30" type="noConversion"/>
  </si>
  <si>
    <t>光学+硬件+软件</t>
    <phoneticPr fontId="30" type="noConversion"/>
  </si>
  <si>
    <t>光学+硬件+软件+工艺</t>
    <phoneticPr fontId="30" type="noConversion"/>
  </si>
  <si>
    <t>结构+工艺+质量</t>
    <phoneticPr fontId="30" type="noConversion"/>
  </si>
  <si>
    <t>光学+工艺+质量</t>
    <phoneticPr fontId="30" type="noConversion"/>
  </si>
  <si>
    <t>结构+质量</t>
    <phoneticPr fontId="30" type="noConversion"/>
  </si>
  <si>
    <t>光学+结构+工艺+质量</t>
    <phoneticPr fontId="30" type="noConversion"/>
  </si>
  <si>
    <t>结构+硬件+质量</t>
    <phoneticPr fontId="30" type="noConversion"/>
  </si>
  <si>
    <t>硬件+软件+工艺+质量</t>
    <phoneticPr fontId="30" type="noConversion"/>
  </si>
  <si>
    <t>结构+硬件+工艺+质量</t>
    <phoneticPr fontId="30" type="noConversion"/>
  </si>
  <si>
    <t>结构+硬件+软件+工艺+质量</t>
    <phoneticPr fontId="30" type="noConversion"/>
  </si>
  <si>
    <t>光学+硬件+软件+工艺+质量</t>
    <phoneticPr fontId="30" type="noConversion"/>
  </si>
  <si>
    <t>光学+硬件+软件+质量</t>
    <phoneticPr fontId="30" type="noConversion"/>
  </si>
  <si>
    <t>硬件+工艺+质量</t>
    <phoneticPr fontId="30" type="noConversion"/>
  </si>
  <si>
    <t>软件+工艺+质量</t>
    <phoneticPr fontId="30" type="noConversion"/>
  </si>
  <si>
    <t>工艺+结构+质量</t>
    <phoneticPr fontId="30" type="noConversion"/>
  </si>
  <si>
    <t>光学+结构+硬件+质量</t>
    <phoneticPr fontId="30" type="noConversion"/>
  </si>
  <si>
    <t>光学+结构+质量</t>
    <phoneticPr fontId="30" type="noConversion"/>
  </si>
  <si>
    <t>不限制</t>
    <phoneticPr fontId="30" type="noConversion"/>
  </si>
  <si>
    <t>限制的内窥镜特有光参数：{V}</t>
    <phoneticPr fontId="30" type="noConversion"/>
  </si>
  <si>
    <t>要求加测50%亮度档，并满足合格标准的光参数有{V}</t>
    <phoneticPr fontId="30" type="noConversion"/>
  </si>
  <si>
    <t>导光束输入端通光口径：{V}</t>
    <phoneticPr fontId="30" type="noConversion"/>
  </si>
  <si>
    <t>导光束输出端通光口径：{V}</t>
    <phoneticPr fontId="30" type="noConversion"/>
  </si>
  <si>
    <t>导光束外形尺寸要求：{V}</t>
    <phoneticPr fontId="30" type="noConversion"/>
  </si>
  <si>
    <t>单色光分别为：[{V}]</t>
    <phoneticPr fontId="30" type="noConversion"/>
  </si>
  <si>
    <t>白光或混合光分别为：[{V}]</t>
    <phoneticPr fontId="30" type="noConversion"/>
  </si>
  <si>
    <t>单色光对{V}等光参数进行了限制</t>
    <phoneticPr fontId="30" type="noConversion"/>
  </si>
  <si>
    <t>峰值波长要求：[{K}典型值{V}，公差{T}]</t>
  </si>
  <si>
    <t>主波长要求：[{K}典型值{V}，公差{T}]</t>
  </si>
  <si>
    <t>半峰全宽要求：[{K}典型值{V}，公差{T}]</t>
  </si>
  <si>
    <t>光通量要求：[{K}典型值{V}，公差{T}]</t>
  </si>
  <si>
    <t>光功率要求：[{K}典型值{V}，公差{T}]</t>
  </si>
  <si>
    <t>光强要求：[{K}典型值{V}，公差{T}]</t>
  </si>
  <si>
    <t>辐射强度要求：[{K}典型值{V}，公差{T}]</t>
  </si>
  <si>
    <t>光束全角要求：[{K}典型值{V}，公差{T}]</t>
  </si>
  <si>
    <t>视场全角要求：[{K}典型值{V}，公差{T}]</t>
  </si>
  <si>
    <t>相关色温CCT要求：[{K}典型值{V}，公差{T}]</t>
  </si>
  <si>
    <t>光谱峰值比要求：[{K}典型值{V}，公差{T}]</t>
  </si>
  <si>
    <t>红绿辐通量比要求：[{K}典型值{V}，公差{T}]</t>
  </si>
  <si>
    <t>蓝绿辐通量比要求：[{K}典型值{V}，公差{T}]</t>
  </si>
  <si>
    <t>要求的转接座拉力测试合格标准为：典型值{V}，公差{T}</t>
    <phoneticPr fontId="30" type="noConversion"/>
  </si>
  <si>
    <t>红外截止性能要求：[{K}上限值{V}]</t>
    <phoneticPr fontId="30" type="noConversion"/>
  </si>
  <si>
    <t>光照均匀性要求：[{K}上限值{V}]</t>
    <phoneticPr fontId="30" type="noConversion"/>
  </si>
  <si>
    <t>照度超限点要求：[{K}上限值{V}]</t>
    <phoneticPr fontId="30" type="noConversion"/>
  </si>
  <si>
    <t>色坐标CIExy要求：[{K}{V}]</t>
    <phoneticPr fontId="30" type="noConversion"/>
  </si>
  <si>
    <t>色坐标CIEuv要求：[{K}{V}]</t>
    <phoneticPr fontId="30" type="noConversion"/>
  </si>
  <si>
    <t>CRI显指Ra要求：[{K}下限值{V}]</t>
    <phoneticPr fontId="30" type="noConversion"/>
  </si>
  <si>
    <t>CRI显指R9要求：[{K}下限值{V}]</t>
    <phoneticPr fontId="30" type="noConversion"/>
  </si>
  <si>
    <t>选项呈现语句</t>
    <phoneticPr fontId="30" type="noConversion"/>
  </si>
  <si>
    <t>选项重点值</t>
    <phoneticPr fontId="30" type="noConversion"/>
  </si>
  <si>
    <t>导光束→产品→导光束→产品→导光束</t>
    <phoneticPr fontId="30" type="noConversion"/>
  </si>
  <si>
    <t>DCDCD</t>
    <phoneticPr fontId="30" type="noConversion"/>
  </si>
  <si>
    <t>导光束{V}</t>
    <phoneticPr fontId="30" type="noConversion"/>
  </si>
  <si>
    <t>导光束为输入源：{V}</t>
    <phoneticPr fontId="30" type="noConversion"/>
  </si>
  <si>
    <t>导光束为输出目标：{V}</t>
    <phoneticPr fontId="30" type="noConversion"/>
  </si>
  <si>
    <t>导光束为传输作用：{V}</t>
    <phoneticPr fontId="30" type="noConversion"/>
  </si>
  <si>
    <t>导光束作为源与目标：{V}</t>
    <phoneticPr fontId="30" type="noConversion"/>
  </si>
  <si>
    <t>导光束参与传输也是目标：{V}</t>
    <phoneticPr fontId="30" type="noConversion"/>
  </si>
  <si>
    <t>导光束作为输入、过程、目标：{V}</t>
    <phoneticPr fontId="30" type="noConversion"/>
  </si>
  <si>
    <t>导光束由{V}负责供货</t>
    <phoneticPr fontId="30" type="noConversion"/>
  </si>
  <si>
    <t>我司</t>
    <phoneticPr fontId="30" type="noConversion"/>
  </si>
  <si>
    <t>导光束由{V}自行搭配</t>
    <phoneticPr fontId="30" type="noConversion"/>
  </si>
  <si>
    <t>客户</t>
    <phoneticPr fontId="30" type="noConversion"/>
  </si>
  <si>
    <t>导光束转接座{V}的</t>
    <phoneticPr fontId="30" type="noConversion"/>
  </si>
  <si>
    <t>购买我司</t>
    <phoneticPr fontId="30" type="noConversion"/>
  </si>
  <si>
    <t>{V}导光束转接机构</t>
    <phoneticPr fontId="30" type="noConversion"/>
  </si>
  <si>
    <t>客户自制</t>
    <phoneticPr fontId="30" type="noConversion"/>
  </si>
  <si>
    <t>{V}导光束做光参数测试</t>
    <phoneticPr fontId="30" type="noConversion"/>
  </si>
  <si>
    <t>客户指定/提供</t>
    <phoneticPr fontId="30" type="noConversion"/>
  </si>
  <si>
    <t>{V}转接座材料与表面工艺</t>
    <phoneticPr fontId="30" type="noConversion"/>
  </si>
  <si>
    <t>{V}转接座外形尺寸</t>
    <phoneticPr fontId="30" type="noConversion"/>
  </si>
  <si>
    <t>转接座头部旋帽是否按我司工艺点胶出货</t>
    <phoneticPr fontId="30" type="noConversion"/>
  </si>
  <si>
    <t>不点胶</t>
    <phoneticPr fontId="30" type="noConversion"/>
  </si>
  <si>
    <t>转接座旋帽{V}</t>
    <phoneticPr fontId="30" type="noConversion"/>
  </si>
  <si>
    <t>客供</t>
    <phoneticPr fontId="30" type="noConversion"/>
  </si>
  <si>
    <t>使用{V}导光束做拉力测试</t>
    <phoneticPr fontId="30" type="noConversion"/>
  </si>
  <si>
    <t>转接座拉力测试{V}</t>
    <phoneticPr fontId="30" type="noConversion"/>
  </si>
  <si>
    <t>指定拉力标准</t>
    <phoneticPr fontId="30" type="noConversion"/>
  </si>
  <si>
    <t>插拔使所有光源亮灭</t>
    <phoneticPr fontId="30" type="noConversion"/>
  </si>
  <si>
    <t>使所有光源亮灭</t>
    <phoneticPr fontId="30" type="noConversion"/>
  </si>
  <si>
    <t>产品需输出{V}</t>
    <phoneticPr fontId="30" type="noConversion"/>
  </si>
  <si>
    <t>产品属于{V}，需符合YY1081-2011标准要求</t>
    <phoneticPr fontId="30" type="noConversion"/>
  </si>
  <si>
    <t>内窥镜领域</t>
    <phoneticPr fontId="30" type="noConversion"/>
  </si>
  <si>
    <t>产品工作环境温度{V}</t>
    <phoneticPr fontId="30" type="noConversion"/>
  </si>
  <si>
    <t>不限定</t>
    <phoneticPr fontId="30" type="noConversion"/>
  </si>
  <si>
    <t>产品工作环境相对湿度{V}</t>
    <phoneticPr fontId="30" type="noConversion"/>
  </si>
  <si>
    <t>产品指定工作环境温度：{V}~{T}</t>
    <phoneticPr fontId="30" type="noConversion"/>
  </si>
  <si>
    <t>None</t>
    <phoneticPr fontId="30" type="noConversion"/>
  </si>
  <si>
    <t>产品工作时噪声{V}</t>
    <phoneticPr fontId="30" type="noConversion"/>
  </si>
  <si>
    <t>产品工作时外表面温度或温升{V}</t>
    <phoneticPr fontId="30" type="noConversion"/>
  </si>
  <si>
    <t>产品工作时外表面温度/温升：{V}</t>
    <phoneticPr fontId="30" type="noConversion"/>
  </si>
  <si>
    <t>产品IP防护等级{V}</t>
    <phoneticPr fontId="30" type="noConversion"/>
  </si>
  <si>
    <t>不限定</t>
    <phoneticPr fontId="30" type="noConversion"/>
  </si>
  <si>
    <t>不指定</t>
    <phoneticPr fontId="30" type="noConversion"/>
  </si>
  <si>
    <t>有限制</t>
    <phoneticPr fontId="30" type="noConversion"/>
  </si>
  <si>
    <t>由我司自行设计</t>
    <phoneticPr fontId="30" type="noConversion"/>
  </si>
  <si>
    <t>对产品外形或安装孔位尺寸{V}</t>
    <phoneticPr fontId="30" type="noConversion"/>
  </si>
  <si>
    <t>产品外形与安装孔位]{V}</t>
    <phoneticPr fontId="30" type="noConversion"/>
  </si>
  <si>
    <t>产品进出风位置{V}</t>
    <phoneticPr fontId="30" type="noConversion"/>
  </si>
  <si>
    <t>产品出线位置{V}</t>
    <phoneticPr fontId="30" type="noConversion"/>
  </si>
  <si>
    <t>产品出光口位置{V}</t>
    <phoneticPr fontId="30" type="noConversion"/>
  </si>
  <si>
    <t>产品外观颜色{V}</t>
    <phoneticPr fontId="30" type="noConversion"/>
  </si>
  <si>
    <t>产品表面工艺{V}</t>
    <phoneticPr fontId="30" type="noConversion"/>
  </si>
  <si>
    <t>产品重量{V}</t>
    <phoneticPr fontId="30" type="noConversion"/>
  </si>
  <si>
    <t>产品必须使用{V}</t>
    <phoneticPr fontId="30" type="noConversion"/>
  </si>
  <si>
    <t>调速风扇</t>
    <phoneticPr fontId="30" type="noConversion"/>
  </si>
  <si>
    <t>产品是否使用调试风扇{V}</t>
    <phoneticPr fontId="30" type="noConversion"/>
  </si>
  <si>
    <t>由我司自行决定</t>
    <phoneticPr fontId="30" type="noConversion"/>
  </si>
  <si>
    <t>自行选型</t>
    <phoneticPr fontId="30" type="noConversion"/>
  </si>
  <si>
    <t>产品风扇由我司{V}</t>
    <phoneticPr fontId="30" type="noConversion"/>
  </si>
  <si>
    <t>产品散热器由我司{V}</t>
    <phoneticPr fontId="30" type="noConversion"/>
  </si>
  <si>
    <t>自行设计</t>
    <phoneticPr fontId="30" type="noConversion"/>
  </si>
  <si>
    <t>产品供电为{V}</t>
    <phoneticPr fontId="30" type="noConversion"/>
  </si>
  <si>
    <t>客户有使用{V}进行成像拍摄</t>
    <phoneticPr fontId="30" type="noConversion"/>
  </si>
  <si>
    <t>摄像系统</t>
    <phoneticPr fontId="30" type="noConversion"/>
  </si>
  <si>
    <t>仅使用{V}进行成像观察</t>
    <phoneticPr fontId="30" type="noConversion"/>
  </si>
  <si>
    <t>人眼</t>
    <phoneticPr fontId="30" type="noConversion"/>
  </si>
  <si>
    <t>接受驱动{V}方案</t>
    <phoneticPr fontId="30" type="noConversion"/>
  </si>
  <si>
    <t>模拟输出</t>
    <phoneticPr fontId="30" type="noConversion"/>
  </si>
  <si>
    <t>{V}驱动模拟输出方案</t>
    <phoneticPr fontId="30" type="noConversion"/>
  </si>
  <si>
    <t>不接受</t>
    <phoneticPr fontId="30" type="noConversion"/>
  </si>
  <si>
    <t>接受{V}方案</t>
    <phoneticPr fontId="30" type="noConversion"/>
  </si>
  <si>
    <t>PWM输出</t>
    <phoneticPr fontId="30" type="noConversion"/>
  </si>
  <si>
    <t>{V}PWM输出方案</t>
    <phoneticPr fontId="30" type="noConversion"/>
  </si>
  <si>
    <t>产品整体功耗{V}</t>
    <phoneticPr fontId="30" type="noConversion"/>
  </si>
  <si>
    <t>无要求</t>
    <phoneticPr fontId="30" type="noConversion"/>
  </si>
  <si>
    <t>驱动板外形或安装孔位尺寸{V}</t>
    <phoneticPr fontId="30" type="noConversion"/>
  </si>
  <si>
    <t>驱动板外形与安装孔位{V}</t>
    <phoneticPr fontId="30" type="noConversion"/>
  </si>
  <si>
    <t>产品接口规格{V}</t>
    <phoneticPr fontId="30" type="noConversion"/>
  </si>
  <si>
    <t>{V}操控类配件</t>
    <phoneticPr fontId="30" type="noConversion"/>
  </si>
  <si>
    <t>无需提供</t>
    <phoneticPr fontId="30" type="noConversion"/>
  </si>
  <si>
    <t>操控类配件{V}</t>
    <phoneticPr fontId="30" type="noConversion"/>
  </si>
  <si>
    <t>由我司选型决定</t>
    <phoneticPr fontId="30" type="noConversion"/>
  </si>
  <si>
    <t>产品需具备{V}</t>
    <phoneticPr fontId="30" type="noConversion"/>
  </si>
  <si>
    <t>状态显示界面</t>
    <phoneticPr fontId="30" type="noConversion"/>
  </si>
  <si>
    <t>{V}显示类配件</t>
    <phoneticPr fontId="30" type="noConversion"/>
  </si>
  <si>
    <t>无需提供</t>
    <phoneticPr fontId="30" type="noConversion"/>
  </si>
  <si>
    <t>显示类配件{V}</t>
    <phoneticPr fontId="30" type="noConversion"/>
  </si>
  <si>
    <t>随货{V}输入配线</t>
    <phoneticPr fontId="30" type="noConversion"/>
  </si>
  <si>
    <t>产品{V}定期校正功能</t>
    <phoneticPr fontId="30" type="noConversion"/>
  </si>
  <si>
    <t>需要具备</t>
    <phoneticPr fontId="30" type="noConversion"/>
  </si>
  <si>
    <t>产品{V}闭环反馈控制功能</t>
    <phoneticPr fontId="30" type="noConversion"/>
  </si>
  <si>
    <t>不用</t>
    <phoneticPr fontId="30" type="noConversion"/>
  </si>
  <si>
    <t>调光范围与步距{V}</t>
    <phoneticPr fontId="30" type="noConversion"/>
  </si>
  <si>
    <t>产品具备{V}</t>
    <phoneticPr fontId="30" type="noConversion"/>
  </si>
  <si>
    <t>频闪模式</t>
    <phoneticPr fontId="30" type="noConversion"/>
  </si>
  <si>
    <t>产品{V}工作</t>
    <phoneticPr fontId="30" type="noConversion"/>
  </si>
  <si>
    <t>无需频闪</t>
    <phoneticPr fontId="30" type="noConversion"/>
  </si>
  <si>
    <t>调速风扇工作逻辑{V}</t>
    <phoneticPr fontId="30" type="noConversion"/>
  </si>
  <si>
    <t>超温报警温度与保护逻辑{V}</t>
    <phoneticPr fontId="30" type="noConversion"/>
  </si>
  <si>
    <t>涉及导光束</t>
    <phoneticPr fontId="30" type="noConversion"/>
  </si>
  <si>
    <t>配转接座</t>
    <phoneticPr fontId="30" type="noConversion"/>
  </si>
  <si>
    <t>定制转接座尺寸</t>
    <phoneticPr fontId="30" type="noConversion"/>
  </si>
  <si>
    <t>定制转接座材质表面</t>
    <phoneticPr fontId="30" type="noConversion"/>
  </si>
  <si>
    <t>客供导光束测拉力</t>
    <phoneticPr fontId="30" type="noConversion"/>
  </si>
  <si>
    <t>指定拉力标准</t>
    <phoneticPr fontId="30" type="noConversion"/>
  </si>
  <si>
    <t>限环境温度</t>
    <phoneticPr fontId="30" type="noConversion"/>
  </si>
  <si>
    <t>限环境湿度</t>
    <phoneticPr fontId="30" type="noConversion"/>
  </si>
  <si>
    <t>限噪声</t>
    <phoneticPr fontId="30" type="noConversion"/>
  </si>
  <si>
    <t>限表面温度</t>
    <phoneticPr fontId="30" type="noConversion"/>
  </si>
  <si>
    <t>限IP防护等级</t>
    <phoneticPr fontId="30" type="noConversion"/>
  </si>
  <si>
    <t>限产品外形与安装孔</t>
    <phoneticPr fontId="30" type="noConversion"/>
  </si>
  <si>
    <t>限出光口位置</t>
    <phoneticPr fontId="30" type="noConversion"/>
  </si>
  <si>
    <t>限出线位置</t>
    <phoneticPr fontId="30" type="noConversion"/>
  </si>
  <si>
    <t>限进出风道</t>
    <phoneticPr fontId="30" type="noConversion"/>
  </si>
  <si>
    <t>指定产品表面工艺</t>
    <phoneticPr fontId="30" type="noConversion"/>
  </si>
  <si>
    <t>规定使用调速风扇</t>
    <phoneticPr fontId="30" type="noConversion"/>
  </si>
  <si>
    <t>指定风扇</t>
    <phoneticPr fontId="30" type="noConversion"/>
  </si>
  <si>
    <t>定制散热器</t>
    <phoneticPr fontId="30" type="noConversion"/>
  </si>
  <si>
    <t>特定调光要求</t>
    <phoneticPr fontId="30" type="noConversion"/>
  </si>
  <si>
    <t>指定风扇调速逻辑</t>
    <phoneticPr fontId="30" type="noConversion"/>
  </si>
  <si>
    <t>指定超温报警温度与逻辑</t>
    <phoneticPr fontId="30" type="noConversion"/>
  </si>
  <si>
    <t>50%亮度要测的光参数有哪些</t>
    <phoneticPr fontId="30" type="noConversion"/>
  </si>
  <si>
    <t>光斑均匀性</t>
  </si>
  <si>
    <t>导光束数值孔径{V}</t>
    <phoneticPr fontId="30" type="noConversion"/>
  </si>
  <si>
    <t>导光束数值孔径：{V}</t>
    <phoneticPr fontId="30" type="noConversion"/>
  </si>
  <si>
    <t>指定导光束测光参数</t>
    <phoneticPr fontId="30" type="noConversion"/>
  </si>
  <si>
    <t>转接座分拆同箱包装</t>
    <phoneticPr fontId="30" type="noConversion"/>
  </si>
  <si>
    <t>转接座一体包装</t>
    <phoneticPr fontId="30" type="noConversion"/>
  </si>
  <si>
    <t>转接座分箱包装</t>
    <phoneticPr fontId="30" type="noConversion"/>
  </si>
  <si>
    <t>导光束插拔定制逻辑</t>
    <phoneticPr fontId="30" type="noConversion"/>
  </si>
  <si>
    <t>指定电气接口</t>
    <phoneticPr fontId="30" type="noConversion"/>
  </si>
  <si>
    <t>供操控类配件</t>
    <phoneticPr fontId="30" type="noConversion"/>
  </si>
  <si>
    <t>供显示类配件</t>
    <phoneticPr fontId="30" type="noConversion"/>
  </si>
  <si>
    <t>定期校正功能</t>
    <phoneticPr fontId="30" type="noConversion"/>
  </si>
  <si>
    <t>闭环反馈控制</t>
    <phoneticPr fontId="30" type="noConversion"/>
  </si>
  <si>
    <t>频闪功能</t>
    <phoneticPr fontId="30" type="noConversion"/>
  </si>
  <si>
    <t>显示屏（仅显示）</t>
    <phoneticPr fontId="30" type="noConversion"/>
  </si>
  <si>
    <t>无光学补充需求</t>
    <phoneticPr fontId="30" type="noConversion"/>
  </si>
  <si>
    <t>光学有补充需求</t>
    <phoneticPr fontId="30" type="noConversion"/>
  </si>
  <si>
    <t>选择是否要继续补充光学需求。</t>
    <phoneticPr fontId="30" type="noConversion"/>
  </si>
  <si>
    <t>填写上面需求确认项无提及但客户有要求的光学内容。</t>
    <phoneticPr fontId="30" type="noConversion"/>
  </si>
  <si>
    <t>填写上面需求确认项无提及但客户有要求的结构内容。</t>
    <phoneticPr fontId="30" type="noConversion"/>
  </si>
  <si>
    <t>填写上面需求确认项无提及但客户有要求的硬件内容。</t>
    <phoneticPr fontId="30" type="noConversion"/>
  </si>
  <si>
    <t>填写上面需求确认项无提及但客户有要求的软件内容。</t>
    <phoneticPr fontId="30" type="noConversion"/>
  </si>
  <si>
    <t>填写上面需求确认项无提及但客户有要求的工艺内容。</t>
    <phoneticPr fontId="30" type="noConversion"/>
  </si>
  <si>
    <t>是否补充结构需求</t>
    <phoneticPr fontId="30" type="noConversion"/>
  </si>
  <si>
    <t>结构有补充需求</t>
    <phoneticPr fontId="30" type="noConversion"/>
  </si>
  <si>
    <t>无结构补充需求</t>
    <phoneticPr fontId="30" type="noConversion"/>
  </si>
  <si>
    <t>选择是否要继续补充结构需求。</t>
    <phoneticPr fontId="30" type="noConversion"/>
  </si>
  <si>
    <t>是否补充硬件需求</t>
    <phoneticPr fontId="30" type="noConversion"/>
  </si>
  <si>
    <t>硬件有补充需求</t>
    <phoneticPr fontId="30" type="noConversion"/>
  </si>
  <si>
    <t>无硬件补充需求</t>
    <phoneticPr fontId="30" type="noConversion"/>
  </si>
  <si>
    <t>选择是否要继续补充硬件需求。</t>
    <phoneticPr fontId="30" type="noConversion"/>
  </si>
  <si>
    <t>是否补充软件需求</t>
    <phoneticPr fontId="30" type="noConversion"/>
  </si>
  <si>
    <t>软件有补充需求</t>
    <phoneticPr fontId="30" type="noConversion"/>
  </si>
  <si>
    <t>无软件补充需求</t>
    <phoneticPr fontId="30" type="noConversion"/>
  </si>
  <si>
    <t>选择是否要继续补充软件需求。</t>
    <phoneticPr fontId="30" type="noConversion"/>
  </si>
  <si>
    <t>是否补充工艺需求</t>
    <phoneticPr fontId="30" type="noConversion"/>
  </si>
  <si>
    <t>工艺有补充需求</t>
    <phoneticPr fontId="30" type="noConversion"/>
  </si>
  <si>
    <t>无工艺补充需求</t>
    <phoneticPr fontId="30" type="noConversion"/>
  </si>
  <si>
    <t>选择是否要继续补充工艺需求。</t>
    <phoneticPr fontId="30" type="noConversion"/>
  </si>
  <si>
    <t>是否限制产品风道</t>
    <phoneticPr fontId="30" type="noConversion"/>
  </si>
  <si>
    <t>驱动板PWM输出将可使色温随调光档位变化很小，但遇到摄像系统成像时将出现条纹问题，除非使用场景只用人眼观察，频率低于20KHz人耳会听到啸叫；如果拒绝该方案，将采用模拟输出方案，客户得接受附带出现的色温随调光档位变化明显的问题。</t>
    <phoneticPr fontId="30" type="noConversion"/>
  </si>
  <si>
    <t>以太网</t>
    <phoneticPr fontId="30" type="noConversion"/>
  </si>
  <si>
    <t>选择产品的网络角色</t>
    <phoneticPr fontId="30" type="noConversion"/>
  </si>
  <si>
    <t>服务端</t>
    <phoneticPr fontId="30" type="noConversion"/>
  </si>
  <si>
    <t>客户端</t>
    <phoneticPr fontId="30" type="noConversion"/>
  </si>
  <si>
    <t>需扮演{V}功能角色</t>
    <phoneticPr fontId="30" type="noConversion"/>
  </si>
  <si>
    <t>产品在网络通信中扮演的逻辑角色与功能实现，是属于服务端还是客户端、异或两种都是。</t>
    <phoneticPr fontId="30" type="noConversion"/>
  </si>
  <si>
    <t>外部触发</t>
    <phoneticPr fontId="30" type="noConversion"/>
  </si>
  <si>
    <t>外部触发(频闪)</t>
    <phoneticPr fontId="30" type="noConversion"/>
  </si>
  <si>
    <t>导光束品牌、规格、尺寸</t>
    <phoneticPr fontId="30" type="noConversion"/>
  </si>
  <si>
    <t>配(默认)</t>
    <phoneticPr fontId="30" type="noConversion"/>
  </si>
  <si>
    <t>不配</t>
    <phoneticPr fontId="30" type="noConversion"/>
  </si>
  <si>
    <t>配</t>
    <phoneticPr fontId="30" type="noConversion"/>
  </si>
  <si>
    <t>{V}我司默认转接座旋帽</t>
    <phoneticPr fontId="30" type="noConversion"/>
  </si>
  <si>
    <t>配不配我司默认转接座旋帽</t>
    <phoneticPr fontId="30" type="noConversion"/>
  </si>
  <si>
    <t>定制旋帽</t>
    <phoneticPr fontId="30" type="noConversion"/>
  </si>
  <si>
    <t>定制</t>
    <phoneticPr fontId="30" type="noConversion"/>
  </si>
  <si>
    <t>{V}转接座旋帽</t>
    <phoneticPr fontId="30" type="noConversion"/>
  </si>
  <si>
    <t>我司转接座默认有旋帽，转接座装到客户机箱上以后，相当于外露在机箱面板前，询问客户用我司默认旋帽、还是自己做、还是定制。</t>
    <phoneticPr fontId="30" type="noConversion"/>
  </si>
  <si>
    <t>不配旋帽</t>
    <phoneticPr fontId="30" type="noConversion"/>
  </si>
  <si>
    <t>填写旋帽具体定制要求</t>
    <phoneticPr fontId="30" type="noConversion"/>
  </si>
  <si>
    <t>转接座旋帽定制要求：{V}</t>
    <phoneticPr fontId="30" type="noConversion"/>
  </si>
  <si>
    <t>填写客户对转接座旋帽形状尺寸要求，最好附上图纸说明。</t>
    <phoneticPr fontId="30" type="noConversion"/>
  </si>
  <si>
    <t>填写具体的ESD(静电放电)要求</t>
    <phoneticPr fontId="30" type="noConversion"/>
  </si>
  <si>
    <t>是否对ESD(静电放电)作具体要求</t>
    <phoneticPr fontId="30" type="noConversion"/>
  </si>
  <si>
    <t>ESD具体要求：{V}</t>
    <phoneticPr fontId="30" type="noConversion"/>
  </si>
  <si>
    <t>产品{V}具体ESD要求</t>
    <phoneticPr fontId="30" type="noConversion"/>
  </si>
  <si>
    <t>无</t>
    <phoneticPr fontId="30" type="noConversion"/>
  </si>
  <si>
    <t>在产品ESD(静电放电)方面，客户有没有提出具体的要求，比如放电速度等。</t>
    <phoneticPr fontId="30" type="noConversion"/>
  </si>
  <si>
    <t>填写具体ESD要求，可附上文件进行说明。</t>
    <phoneticPr fontId="30" type="noConversion"/>
  </si>
  <si>
    <t>照度要求：[{K}：{V}]</t>
    <phoneticPr fontId="30" type="noConversion"/>
  </si>
  <si>
    <t>辐照度要求：[{K}：{V}]</t>
    <phoneticPr fontId="30" type="noConversion"/>
  </si>
  <si>
    <t>亮度要求：[{K}：{V}]</t>
    <phoneticPr fontId="30" type="noConversion"/>
  </si>
  <si>
    <t>光斑尺寸要求：[{K}：{V}]</t>
    <phoneticPr fontId="30" type="noConversion"/>
  </si>
  <si>
    <t>光斑均匀性要求：[{K}：{V}]</t>
    <phoneticPr fontId="30" type="noConversion"/>
  </si>
  <si>
    <t>填写该项要求时，每一个值都应该对应一个工作距离，并注明公差，工作距离默认定义为距离出光口透镜顶点的距离，可写多个不同工作距离的要求，格式建议如：值±公差@工作距离；我司均匀性默认定义为平面照度分布的50%峰值构成的区域直径与10%峰值构成的区域直径的比值，即D50/D10。客户有特殊定义的，还需写明均匀性定义或计算公式；</t>
    <phoneticPr fontId="30" type="noConversion"/>
  </si>
  <si>
    <t>产品是否应用于内窥镜冷光源领域</t>
    <phoneticPr fontId="30" type="noConversion"/>
  </si>
  <si>
    <t>软式内窥镜</t>
    <phoneticPr fontId="30" type="noConversion"/>
  </si>
  <si>
    <t>硬式内窥镜</t>
    <phoneticPr fontId="30" type="noConversion"/>
  </si>
  <si>
    <t>客户使用的内窥镜属于以下哪种</t>
    <phoneticPr fontId="30" type="noConversion"/>
  </si>
  <si>
    <t>软镜</t>
    <phoneticPr fontId="30" type="noConversion"/>
  </si>
  <si>
    <t>硬镜</t>
    <phoneticPr fontId="30" type="noConversion"/>
  </si>
  <si>
    <t>客户使用{V}，导光束口径较小</t>
    <phoneticPr fontId="30" type="noConversion"/>
  </si>
  <si>
    <t>客户使用{V}，导光束口径较大</t>
    <phoneticPr fontId="30" type="noConversion"/>
  </si>
  <si>
    <t>我们的产品将搭配硬镜或软镜使用，软镜导光束较小，光学方案设计时将优先考虑小光源。</t>
    <phoneticPr fontId="30" type="noConversion"/>
  </si>
  <si>
    <t>驱动板与灯头主体采用哪种布局方案</t>
    <phoneticPr fontId="30" type="noConversion"/>
  </si>
  <si>
    <t>分体式</t>
    <phoneticPr fontId="30" type="noConversion"/>
  </si>
  <si>
    <t>内置一体式</t>
    <phoneticPr fontId="30" type="noConversion"/>
  </si>
  <si>
    <t>内置</t>
    <phoneticPr fontId="30" type="noConversion"/>
  </si>
  <si>
    <t>外露固定</t>
    <phoneticPr fontId="30" type="noConversion"/>
  </si>
  <si>
    <t>外露固定式</t>
    <phoneticPr fontId="30" type="noConversion"/>
  </si>
  <si>
    <t>驱动板{V}</t>
    <phoneticPr fontId="30" type="noConversion"/>
  </si>
  <si>
    <t>分体安装式</t>
    <phoneticPr fontId="30" type="noConversion"/>
  </si>
  <si>
    <t>分体安装</t>
    <phoneticPr fontId="30" type="noConversion"/>
  </si>
  <si>
    <t>驱动板选择内置在模组里（看不见）、外露固定在灯头上、与灯头分开客户自己决定安装位置。</t>
    <phoneticPr fontId="30" type="noConversion"/>
  </si>
  <si>
    <t>是否指定导光束转接座外观颜色</t>
    <phoneticPr fontId="30" type="noConversion"/>
  </si>
  <si>
    <t>导光束转接座外观颜色要求</t>
    <phoneticPr fontId="30" type="noConversion"/>
  </si>
  <si>
    <t>转接座外观颜色{V}</t>
    <phoneticPr fontId="30" type="noConversion"/>
  </si>
  <si>
    <t>转接座外观颜色要求：{V}</t>
    <phoneticPr fontId="30" type="noConversion"/>
  </si>
  <si>
    <t>是否指定导光束转接座外观颜色？</t>
    <phoneticPr fontId="30" type="noConversion"/>
  </si>
  <si>
    <t>是否要求随货提供输入配线、是否定制</t>
    <phoneticPr fontId="30" type="noConversion"/>
  </si>
  <si>
    <t>供默认</t>
    <phoneticPr fontId="30" type="noConversion"/>
  </si>
  <si>
    <t>供定制</t>
    <phoneticPr fontId="30" type="noConversion"/>
  </si>
  <si>
    <t>不供</t>
    <phoneticPr fontId="30" type="noConversion"/>
  </si>
  <si>
    <t>供默认输入线</t>
    <phoneticPr fontId="30" type="noConversion"/>
  </si>
  <si>
    <t>供定制输入线</t>
    <phoneticPr fontId="30" type="noConversion"/>
  </si>
  <si>
    <t>提供默认输入线</t>
    <phoneticPr fontId="30" type="noConversion"/>
  </si>
  <si>
    <t>提供定制输入线</t>
    <phoneticPr fontId="30" type="noConversion"/>
  </si>
  <si>
    <t>提供默认</t>
    <phoneticPr fontId="30" type="noConversion"/>
  </si>
  <si>
    <t>提供定制</t>
    <phoneticPr fontId="30" type="noConversion"/>
  </si>
  <si>
    <t>是否在批量供货时提供电源或信号等输入配线。</t>
    <phoneticPr fontId="30" type="noConversion"/>
  </si>
  <si>
    <t>输入配线定制要求：{V}</t>
    <phoneticPr fontId="30" type="noConversion"/>
  </si>
  <si>
    <t>填写输入配线具体定制要求，如规格、颜色、线长、连接器等等信息。</t>
    <phoneticPr fontId="30" type="noConversion"/>
  </si>
  <si>
    <t>否</t>
    <phoneticPr fontId="30" type="noConversion"/>
  </si>
  <si>
    <t>定制灯头/驱动板输出线材</t>
    <phoneticPr fontId="30" type="noConversion"/>
  </si>
  <si>
    <t>灯头/驱动板输出配线{V}</t>
    <phoneticPr fontId="30" type="noConversion"/>
  </si>
  <si>
    <t>是否定制灯头上携带的线材、驱动板输出的配线。</t>
    <phoneticPr fontId="30" type="noConversion"/>
  </si>
  <si>
    <t>是否定制灯头/驱动板输出配线</t>
    <phoneticPr fontId="30" type="noConversion"/>
  </si>
  <si>
    <t>填写灯头/驱动板输出配线的定制要求</t>
    <phoneticPr fontId="30" type="noConversion"/>
  </si>
  <si>
    <t>填写输入配线的定制要求</t>
    <phoneticPr fontId="30" type="noConversion"/>
  </si>
  <si>
    <t>灯头/驱动板输出配线定制要求：{V}</t>
    <phoneticPr fontId="30" type="noConversion"/>
  </si>
  <si>
    <t>光处理</t>
    <phoneticPr fontId="30" type="noConversion"/>
  </si>
  <si>
    <t>硬件控制</t>
    <phoneticPr fontId="30" type="noConversion"/>
  </si>
  <si>
    <t>光源</t>
    <phoneticPr fontId="30" type="noConversion"/>
  </si>
  <si>
    <t>是否对产品提出其它可靠性测试要求</t>
    <phoneticPr fontId="30" type="noConversion"/>
  </si>
  <si>
    <t>填写其它可靠性测试要求</t>
    <phoneticPr fontId="30" type="noConversion"/>
  </si>
  <si>
    <t>其它可靠性测试具体要求：{V}</t>
    <phoneticPr fontId="30" type="noConversion"/>
  </si>
  <si>
    <t>产品{V}其它可靠行测试要求</t>
    <phoneticPr fontId="30" type="noConversion"/>
  </si>
  <si>
    <t>填写其它可靠性测试要求，可附上文件进行说明。</t>
    <phoneticPr fontId="30" type="noConversion"/>
  </si>
  <si>
    <t>在产品可靠性测试方面，客户有没有提出具体的要求，比如光通量维持率（光源寿命）、光输出稳定性、光输出复现性、运动部件寿命次数、振动、跌落、机械冲击、气密性、高温高湿运行、低温启动、高低温循环、盐雾腐蚀、IP防护等级。</t>
    <phoneticPr fontId="30" type="noConversion"/>
  </si>
  <si>
    <t>有无竞品提供测试参考</t>
    <phoneticPr fontId="30" type="noConversion"/>
  </si>
  <si>
    <t>有</t>
    <phoneticPr fontId="30" type="noConversion"/>
  </si>
  <si>
    <t>提供</t>
    <phoneticPr fontId="30" type="noConversion"/>
  </si>
  <si>
    <t>{V}竞品参考</t>
    <phoneticPr fontId="30" type="noConversion"/>
  </si>
  <si>
    <t>{V}竞品提供</t>
    <phoneticPr fontId="30" type="noConversion"/>
  </si>
  <si>
    <t>客户是否提供竞品或现有产品以供测试参考，可提高项目研发成功率。</t>
    <phoneticPr fontId="30" type="noConversion"/>
  </si>
  <si>
    <t>客户设计我司生产</t>
    <phoneticPr fontId="30" type="noConversion"/>
  </si>
  <si>
    <t>我司设计客户生产</t>
    <phoneticPr fontId="30" type="noConversion"/>
  </si>
  <si>
    <t>我司设计与生产</t>
    <phoneticPr fontId="30" type="noConversion"/>
  </si>
  <si>
    <t>客户是否指定产品需要安装如滤光片、ND镜、偏振镜、传感器、其它标准部件等。</t>
    <phoneticPr fontId="30" type="noConversion"/>
  </si>
  <si>
    <t>询问指定装载部件的设计与供货形式。</t>
    <phoneticPr fontId="30" type="noConversion"/>
  </si>
  <si>
    <t>以{V}的形式装载客户指定部件</t>
    <phoneticPr fontId="30" type="noConversion"/>
  </si>
  <si>
    <t>{V}其它指定装载部件</t>
    <phoneticPr fontId="30" type="noConversion"/>
  </si>
  <si>
    <t>指定装载部件的供货形式</t>
    <phoneticPr fontId="30" type="noConversion"/>
  </si>
  <si>
    <t>是否要求产品装载其它指定部件</t>
    <phoneticPr fontId="30" type="noConversion"/>
  </si>
  <si>
    <t>装载指定部件</t>
    <phoneticPr fontId="30" type="noConversion"/>
  </si>
  <si>
    <t>指定装载部件的技术要求</t>
    <phoneticPr fontId="30" type="noConversion"/>
  </si>
  <si>
    <t>指定装载部件的技术要求：{V}</t>
    <phoneticPr fontId="30" type="noConversion"/>
  </si>
  <si>
    <t>填写客户对指定装载部件的技术要求。</t>
    <phoneticPr fontId="30" type="noConversion"/>
  </si>
  <si>
    <t>提供指定装载部件的规格尺寸或图纸</t>
    <phoneticPr fontId="30" type="noConversion"/>
  </si>
  <si>
    <t>指定装载部件的规格尺寸：{V}</t>
    <phoneticPr fontId="30" type="noConversion"/>
  </si>
  <si>
    <t>填写客户设计或供货的指定装载部件的规格尺寸或图纸，我司需要根据提供的资料配合评估设计。</t>
    <phoneticPr fontId="30" type="noConversion"/>
  </si>
  <si>
    <t>不拆</t>
    <phoneticPr fontId="30" type="noConversion"/>
  </si>
  <si>
    <t>产品指定装载部件的拆装要求</t>
    <phoneticPr fontId="30" type="noConversion"/>
  </si>
  <si>
    <t>频繁拆装</t>
    <phoneticPr fontId="30" type="noConversion"/>
  </si>
  <si>
    <t>低频拆装</t>
    <phoneticPr fontId="30" type="noConversion"/>
  </si>
  <si>
    <t>不拆</t>
    <phoneticPr fontId="30" type="noConversion"/>
  </si>
  <si>
    <t>是</t>
    <phoneticPr fontId="30" type="noConversion"/>
  </si>
  <si>
    <t>不拆卸</t>
    <phoneticPr fontId="30" type="noConversion"/>
  </si>
  <si>
    <t>客户指定部件会{V}</t>
    <phoneticPr fontId="30" type="noConversion"/>
  </si>
  <si>
    <t>客户指定部件{V}</t>
    <phoneticPr fontId="30" type="noConversion"/>
  </si>
  <si>
    <t>客户指定部件{V}</t>
    <phoneticPr fontId="30" type="noConversion"/>
  </si>
  <si>
    <t>不需运动</t>
    <phoneticPr fontId="30" type="noConversion"/>
  </si>
  <si>
    <t>有需要运动的</t>
    <phoneticPr fontId="30" type="noConversion"/>
  </si>
  <si>
    <t>产品指定装载部件是否有需要运动的</t>
    <phoneticPr fontId="30" type="noConversion"/>
  </si>
  <si>
    <t>询问指定装载部件需不需要设计成可拆装的，以及在什么场景下会拆装，选择拆装频繁程度。</t>
    <phoneticPr fontId="30" type="noConversion"/>
  </si>
  <si>
    <t>询问指定装载部件需不需要运动，异或安装后就静止不动。</t>
    <phoneticPr fontId="30" type="noConversion"/>
  </si>
  <si>
    <t>全员</t>
    <phoneticPr fontId="30" type="noConversion"/>
  </si>
  <si>
    <t>填写客户对指定装载部件的运动逻辑、切换速度、或其它技术要求。</t>
    <phoneticPr fontId="30" type="noConversion"/>
  </si>
  <si>
    <t>指定装载部件的运动逻辑与技术要求</t>
    <phoneticPr fontId="30" type="noConversion"/>
  </si>
  <si>
    <t>指定装载部件的运动逻辑与技术要求：{V}</t>
    <phoneticPr fontId="30" type="noConversion"/>
  </si>
  <si>
    <t>产品是否需要多种不同光色输出</t>
    <phoneticPr fontId="30" type="noConversion"/>
  </si>
  <si>
    <t>多种光色输出</t>
    <phoneticPr fontId="30" type="noConversion"/>
  </si>
  <si>
    <t>单种光色输出</t>
    <phoneticPr fontId="30" type="noConversion"/>
  </si>
  <si>
    <t>产品仅需{V}</t>
    <phoneticPr fontId="30" type="noConversion"/>
  </si>
  <si>
    <t>产品是否要求输出多种不同的单色或混合光，异或只需输出单种光即可。</t>
    <phoneticPr fontId="30" type="noConversion"/>
  </si>
  <si>
    <t>不同光色输出切换速度要求：{V}</t>
    <phoneticPr fontId="30" type="noConversion"/>
  </si>
  <si>
    <t>填写不同光色输出切换时的速度要求</t>
    <phoneticPr fontId="30" type="noConversion"/>
  </si>
  <si>
    <t>填写产品不同光色输出之间切换时的速度要求，比如光色切换速度小于多少秒，无要求填写"无要求"。</t>
    <phoneticPr fontId="30" type="noConversion"/>
  </si>
  <si>
    <t>是否补充光学/光源需求</t>
    <phoneticPr fontId="30" type="noConversion"/>
  </si>
  <si>
    <t>请提供剩余产品光学/光源补充需求</t>
    <phoneticPr fontId="30" type="noConversion"/>
  </si>
  <si>
    <t>补充光学/光源要求：{V}</t>
    <phoneticPr fontId="30" type="noConversion"/>
  </si>
  <si>
    <t>光学+硬件+结构+工艺+质量</t>
    <phoneticPr fontId="30" type="noConversion"/>
  </si>
  <si>
    <t>产品在终端用户使用时是否有外露部分</t>
    <phoneticPr fontId="30" type="noConversion"/>
  </si>
  <si>
    <t>外显产品</t>
    <phoneticPr fontId="30" type="noConversion"/>
  </si>
  <si>
    <t>内置产品</t>
    <phoneticPr fontId="30" type="noConversion"/>
  </si>
  <si>
    <t>产品在终端用户使用时{V}外露部分</t>
    <phoneticPr fontId="30" type="noConversion"/>
  </si>
  <si>
    <t>询问客户我司产品在终端用户使用时，会不会被明显看到，如果有外露部分，外观部件具体品质要求需要仔细核对。</t>
    <phoneticPr fontId="30" type="noConversion"/>
  </si>
  <si>
    <t>客户提供的品质要求</t>
    <phoneticPr fontId="30" type="noConversion"/>
  </si>
  <si>
    <t>客户提供的品质要求：{V}</t>
    <phoneticPr fontId="30" type="noConversion"/>
  </si>
  <si>
    <t>填写客户对产品的品质要求，特别是外观品质要求。</t>
    <phoneticPr fontId="30" type="noConversion"/>
  </si>
  <si>
    <t>是否指定购买的转接座型号</t>
    <phoneticPr fontId="30" type="noConversion"/>
  </si>
  <si>
    <t>填写指定转接座型号</t>
    <phoneticPr fontId="30" type="noConversion"/>
  </si>
  <si>
    <t>{V}转接座型号</t>
    <phoneticPr fontId="30" type="noConversion"/>
  </si>
  <si>
    <t>指定搭配转接座型号：{V}</t>
    <phoneticPr fontId="30" type="noConversion"/>
  </si>
  <si>
    <t>根据客户反馈的导光束规格尺寸，结合我司灯头产品的特点，判断是否指定搭配某款现有转接座。</t>
    <phoneticPr fontId="30" type="noConversion"/>
  </si>
  <si>
    <t>填写具体指定搭配的转接座型号。</t>
    <phoneticPr fontId="30" type="noConversion"/>
  </si>
  <si>
    <t>是否指定产品外表Logo</t>
    <phoneticPr fontId="30" type="noConversion"/>
  </si>
  <si>
    <t>产品外表Logo要求</t>
    <phoneticPr fontId="30" type="noConversion"/>
  </si>
  <si>
    <t>产品外表Logo{V}</t>
    <phoneticPr fontId="30" type="noConversion"/>
  </si>
  <si>
    <t>产品外表Logo要求：{V}</t>
    <phoneticPr fontId="30" type="noConversion"/>
  </si>
  <si>
    <t>是否在产品外表或面板上物理呈现客户指定Logo？</t>
    <phoneticPr fontId="30" type="noConversion"/>
  </si>
  <si>
    <t>请说明指定的Logo技术要求，包括位置、尺寸、设计图样、颜色、工艺等。</t>
    <phoneticPr fontId="30" type="noConversion"/>
  </si>
  <si>
    <t>是否指定产品面板的界面菜单内容或工艺</t>
    <phoneticPr fontId="30" type="noConversion"/>
  </si>
  <si>
    <t>产品面板的界面菜单内容或工艺要求</t>
    <phoneticPr fontId="30" type="noConversion"/>
  </si>
  <si>
    <t>产品面板的界面菜单内容与工艺{V}</t>
    <phoneticPr fontId="30" type="noConversion"/>
  </si>
  <si>
    <t>产品面板的界面菜单内容与工艺要求：{V}</t>
    <phoneticPr fontId="30" type="noConversion"/>
  </si>
  <si>
    <t>请说明指定的面板界面菜单技术要求，包括位置、尺寸、内容、设计图样、颜色、工艺等。</t>
    <phoneticPr fontId="30" type="noConversion"/>
  </si>
  <si>
    <t>产品面板上通常有操作控制用的按钮、旋钮、接口，这些部件下方通常需要一些提示内容，客户是否指定。</t>
    <phoneticPr fontId="30" type="noConversion"/>
  </si>
  <si>
    <t>产品标签要求：{V}</t>
    <phoneticPr fontId="30" type="noConversion"/>
  </si>
  <si>
    <t>产品标签{V}</t>
    <phoneticPr fontId="30" type="noConversion"/>
  </si>
  <si>
    <t>是否定制产品标签</t>
    <phoneticPr fontId="30" type="noConversion"/>
  </si>
  <si>
    <t>填写产品标签定制要求</t>
    <phoneticPr fontId="30" type="noConversion"/>
  </si>
  <si>
    <t>定制标签</t>
    <phoneticPr fontId="30" type="noConversion"/>
  </si>
  <si>
    <t>填写客户指定的标签格式、内容、粘贴位置、材质、颜色、工艺等。</t>
    <phoneticPr fontId="30" type="noConversion"/>
  </si>
  <si>
    <t>产品外壳合适位置会粘贴产品标签，客户是否指定标签的格式、内容、粘贴位置、材质、颜色、工艺。</t>
    <phoneticPr fontId="30" type="noConversion"/>
  </si>
  <si>
    <t>是否要求中性包装(无我司Logo)</t>
    <phoneticPr fontId="30" type="noConversion"/>
  </si>
  <si>
    <t>中性包装</t>
    <phoneticPr fontId="30" type="noConversion"/>
  </si>
  <si>
    <t>包材要求{V}</t>
    <phoneticPr fontId="30" type="noConversion"/>
  </si>
  <si>
    <t>包材{V}</t>
    <phoneticPr fontId="30" type="noConversion"/>
  </si>
  <si>
    <t>无中性要求</t>
    <phoneticPr fontId="30" type="noConversion"/>
  </si>
  <si>
    <t>我司默认在纸箱上会印有公司Logo，部分客户会要求包材不能有我司Logo出现。</t>
    <phoneticPr fontId="30" type="noConversion"/>
  </si>
  <si>
    <t>光学+结构+硬件+工艺+质量</t>
    <phoneticPr fontId="30" type="noConversion"/>
  </si>
  <si>
    <t>产品工作姿态：{V}</t>
    <phoneticPr fontId="30" type="noConversion"/>
  </si>
  <si>
    <t>产品工作时可能的姿态</t>
    <phoneticPr fontId="30" type="noConversion"/>
  </si>
  <si>
    <t>填写产品工作时，可能出现的姿态，如出光口水平、垂直向下、垂直向上输出，或其它特征点在空间上的朝向，可以有多种不同姿态，主要用于评估重力对机构、散热、振动等可靠性的影响。</t>
    <phoneticPr fontId="30" type="noConversion"/>
  </si>
  <si>
    <t>结构+光学+硬件</t>
    <phoneticPr fontId="30" type="noConversion"/>
  </si>
  <si>
    <t>产品物料成本限制</t>
    <phoneticPr fontId="30" type="noConversion"/>
  </si>
  <si>
    <t>产品物料成本限制：{V}</t>
    <phoneticPr fontId="30" type="noConversion"/>
  </si>
  <si>
    <t>上限</t>
    <phoneticPr fontId="30" type="noConversion"/>
  </si>
  <si>
    <t>填写产品物料成本限制，设计方案将基于该限制酌情考虑，在预估明显超过的情况下会反馈给销售。</t>
    <phoneticPr fontId="30" type="noConversion"/>
  </si>
  <si>
    <t>是否存在要求单独包装的部件</t>
    <phoneticPr fontId="30" type="noConversion"/>
  </si>
  <si>
    <t>填写不跟产品主体一起配套包装，而要单独包装的部件名称，无要求则填"无"。</t>
    <phoneticPr fontId="30" type="noConversion"/>
  </si>
  <si>
    <t>要求单独包装的部件：{V}</t>
    <phoneticPr fontId="30" type="noConversion"/>
  </si>
  <si>
    <t>校正功能的交付形式</t>
    <phoneticPr fontId="30" type="noConversion"/>
  </si>
  <si>
    <t>软件系统</t>
    <phoneticPr fontId="30" type="noConversion"/>
  </si>
  <si>
    <t>校正治具</t>
    <phoneticPr fontId="30" type="noConversion"/>
  </si>
  <si>
    <t>以{V}的形式交付校正功能</t>
    <phoneticPr fontId="30" type="noConversion"/>
  </si>
  <si>
    <t>选择校正功能以只提供软件系统的方式交付，异或还需要制作配套治具一并交付。</t>
    <phoneticPr fontId="30" type="noConversion"/>
  </si>
  <si>
    <t>是否指定通讯协议</t>
    <phoneticPr fontId="30" type="noConversion"/>
  </si>
  <si>
    <t>指定通讯协议</t>
    <phoneticPr fontId="30" type="noConversion"/>
  </si>
  <si>
    <t>{V}通讯协议</t>
    <phoneticPr fontId="30" type="noConversion"/>
  </si>
  <si>
    <t>填写客户指定的通讯协议</t>
    <phoneticPr fontId="30" type="noConversion"/>
  </si>
  <si>
    <t>客户指定通讯协议：{V}</t>
    <phoneticPr fontId="30" type="noConversion"/>
  </si>
  <si>
    <t>填写具体协议标准，或提交协议内容说明文档。</t>
    <phoneticPr fontId="30" type="noConversion"/>
  </si>
  <si>
    <t>所选产品控制方式涉及通讯协议，是否由客户直接指定，异或由我司确定。</t>
    <phoneticPr fontId="30" type="noConversion"/>
  </si>
  <si>
    <t>是否要求产品具备在线升级功能</t>
    <phoneticPr fontId="30" type="noConversion"/>
  </si>
  <si>
    <t>填写在线升级功能技术要求</t>
    <phoneticPr fontId="30" type="noConversion"/>
  </si>
  <si>
    <t>不需要</t>
    <phoneticPr fontId="30" type="noConversion"/>
  </si>
  <si>
    <t>在线升级</t>
    <phoneticPr fontId="30" type="noConversion"/>
  </si>
  <si>
    <t>{V}在线升级功能</t>
    <phoneticPr fontId="30" type="noConversion"/>
  </si>
  <si>
    <t>在线升级功能技术要求：{V}</t>
    <phoneticPr fontId="30" type="noConversion"/>
  </si>
  <si>
    <t>填写在线升级技术要求，如接口、操作方式、软件、安全性、适用场景等，异或提供说明文档。</t>
    <phoneticPr fontId="30" type="noConversion"/>
  </si>
  <si>
    <t>填写客户要求提供的状态报警项</t>
    <phoneticPr fontId="30" type="noConversion"/>
  </si>
  <si>
    <t>是否要求产品提供状态报警信息</t>
    <phoneticPr fontId="30" type="noConversion"/>
  </si>
  <si>
    <t>提供状态报警信号</t>
    <phoneticPr fontId="30" type="noConversion"/>
  </si>
  <si>
    <t>{V}提供状态报警信号</t>
    <phoneticPr fontId="30" type="noConversion"/>
  </si>
  <si>
    <t>需要提供的状态报警项与要求：{V}</t>
    <phoneticPr fontId="30" type="noConversion"/>
  </si>
  <si>
    <t>产品是否需要具备在线升级功能（在不拆开产品机壳、不使用专用烧录器的情况下，通过外部通讯接口更新设备的固件程序）。</t>
    <phoneticPr fontId="30" type="noConversion"/>
  </si>
  <si>
    <t>产品是否需要提供状态报警信号给客户上位机，如过温报警、电压/电流异常、制冷系统故障、负载开路/短路、传感器断线、通讯超时、指令错误、寿命老化预警等。</t>
    <phoneticPr fontId="30" type="noConversion"/>
  </si>
  <si>
    <t>填写客户要求提供的状态报警项及详细技术要求，异或提供说明文档。</t>
    <phoneticPr fontId="30" type="noConversion"/>
  </si>
  <si>
    <t>是否要求产品光电响应速度</t>
    <phoneticPr fontId="30" type="noConversion"/>
  </si>
  <si>
    <t>要求光电响应速度</t>
    <phoneticPr fontId="30" type="noConversion"/>
  </si>
  <si>
    <t>{V}产品光电响应速度</t>
    <phoneticPr fontId="30" type="noConversion"/>
  </si>
  <si>
    <t>产品光电响应速度要求：{V}</t>
    <phoneticPr fontId="30" type="noConversion"/>
  </si>
  <si>
    <t>产品从发出信号到光输出发生变化，存在时间延迟，客户是否对这个延迟时间有具体要求。</t>
    <phoneticPr fontId="30" type="noConversion"/>
  </si>
  <si>
    <t>填写具体光电响应速度/时间延迟要求。</t>
    <phoneticPr fontId="30" type="noConversion"/>
  </si>
  <si>
    <t>填写光电响应速度技术要求</t>
    <phoneticPr fontId="30" type="noConversion"/>
  </si>
  <si>
    <t>串口通讯波特率</t>
    <phoneticPr fontId="30" type="noConversion"/>
  </si>
  <si>
    <t>波特率9600</t>
    <phoneticPr fontId="30" type="noConversion"/>
  </si>
  <si>
    <t>波特率19200</t>
    <phoneticPr fontId="30" type="noConversion"/>
  </si>
  <si>
    <t>波特率115200</t>
    <phoneticPr fontId="30" type="noConversion"/>
  </si>
  <si>
    <t>串口通讯波特率选择{V}</t>
    <phoneticPr fontId="30" type="noConversion"/>
  </si>
  <si>
    <t>选择串口通讯波特率。</t>
    <phoneticPr fontId="30" type="noConversion"/>
  </si>
  <si>
    <t>串口通讯其它技术要求</t>
    <phoneticPr fontId="30" type="noConversion"/>
  </si>
  <si>
    <t>串口通讯其它技术要求：{V}</t>
    <phoneticPr fontId="30" type="noConversion"/>
  </si>
  <si>
    <t>填写客户提出的其它串口通讯技术要求，如接口定义、数据格式、隔离要求等，或填"无"，或提交详细说明文档。</t>
    <phoneticPr fontId="30" type="noConversion"/>
  </si>
  <si>
    <t>外部触发模式技术要求</t>
    <phoneticPr fontId="30" type="noConversion"/>
  </si>
  <si>
    <t>PWM调光技术要求</t>
    <phoneticPr fontId="30" type="noConversion"/>
  </si>
  <si>
    <t>外部触发技术要求：{V}</t>
    <phoneticPr fontId="30" type="noConversion"/>
  </si>
  <si>
    <t>PWM调光技术要求：{V}</t>
    <phoneticPr fontId="30" type="noConversion"/>
  </si>
  <si>
    <t>填写客户PWM调光技术要求，如电平标准、有效极性、频率、占空比、触发边缘等，或填"无"，或提交详细说明文档。</t>
    <phoneticPr fontId="30" type="noConversion"/>
  </si>
  <si>
    <t>填写客户外部触发技术要求，如电平标准、有效极性、频率、占空比、触发边缘等，或填"无"，或提交详细说明文档。</t>
    <phoneticPr fontId="30" type="noConversion"/>
  </si>
  <si>
    <t>以太网模式技术要求</t>
    <phoneticPr fontId="30" type="noConversion"/>
  </si>
  <si>
    <t>填写客户以太网技术要求，如IP地址分配、通讯端口、协议类型等，或填"无"，或提交详细说明文档。</t>
    <phoneticPr fontId="30" type="noConversion"/>
  </si>
  <si>
    <t>填写客户CAN技术要求，如波特率(250kbps/500kbps)、协议层、终端电阻等，或填"无"，或提交详细说明文档。</t>
    <phoneticPr fontId="30" type="noConversion"/>
  </si>
  <si>
    <t>电位器调光技术要求</t>
    <phoneticPr fontId="30" type="noConversion"/>
  </si>
  <si>
    <t>总线类CAN模式技术要求</t>
    <phoneticPr fontId="30" type="noConversion"/>
  </si>
  <si>
    <t>CAN模式技术要求：{V}</t>
    <phoneticPr fontId="30" type="noConversion"/>
  </si>
  <si>
    <t>以太网模式技术要求：{V}</t>
    <phoneticPr fontId="30" type="noConversion"/>
  </si>
  <si>
    <t>电位器调光技术要求：{V}</t>
    <phoneticPr fontId="30" type="noConversion"/>
  </si>
  <si>
    <t>填写客户电位器调光技术要求，如信号类型(0~5V/0~10V/4~20mA)、对应关系(正反逻辑)等，或填"无"，或提交详细说明文档。</t>
    <phoneticPr fontId="30" type="noConversion"/>
  </si>
  <si>
    <t>具体的状态显示/UI设计与逻辑要求</t>
    <phoneticPr fontId="30" type="noConversion"/>
  </si>
  <si>
    <t>状态显示/UI与逻辑要求：{V}</t>
    <phoneticPr fontId="30" type="noConversion"/>
  </si>
  <si>
    <t>详细填写说明产品状态显示/UI设计要求与逻辑要求。必要时附上说明文档。</t>
    <phoneticPr fontId="30" type="noConversion"/>
  </si>
  <si>
    <t>IIC模式技术要求</t>
    <phoneticPr fontId="30" type="noConversion"/>
  </si>
  <si>
    <t>IIC技术要求：{V}</t>
    <phoneticPr fontId="30" type="noConversion"/>
  </si>
  <si>
    <t>填写客户IIC模式技术要求，如电平电压、地址、上拉电阻、速率等，或填"无"，或提交详细说明文档。</t>
    <phoneticPr fontId="30" type="noConversion"/>
  </si>
  <si>
    <t>SPI模式技术要求</t>
    <phoneticPr fontId="30" type="noConversion"/>
  </si>
  <si>
    <t>SPI技术要求：{V}</t>
    <phoneticPr fontId="30" type="noConversion"/>
  </si>
  <si>
    <t>填写客户SPI模式技术要求，如模式、信号线数量、驱动能力等，或填"无"，或提交详细说明文档。</t>
    <phoneticPr fontId="30" type="noConversion"/>
  </si>
  <si>
    <t>开关/踏板模式技术要求</t>
    <phoneticPr fontId="30" type="noConversion"/>
  </si>
  <si>
    <t>按键开关/踏板技术要求：{V}</t>
    <phoneticPr fontId="30" type="noConversion"/>
  </si>
  <si>
    <t>填写客户按键开关/踏板模式技术要求，如触点逻辑(常开/常闭)、动作类型(点动复位/自锁)、选型规格等，或填"无"，或提交详细说明文档。</t>
    <phoneticPr fontId="30" type="noConversion"/>
  </si>
  <si>
    <t>编码器模式技术要求</t>
    <phoneticPr fontId="30" type="noConversion"/>
  </si>
  <si>
    <t>编码器技术要求：{V}</t>
    <phoneticPr fontId="30" type="noConversion"/>
  </si>
  <si>
    <t>填写客户编码器技术要求，如编码器类型(增量式/绝对值)、分辨率(脉冲数)、输出电路形式(集电极开路/推挽输出/差分驱动)、是否带开关按键等，或填"无"，或提交详细说明文档。</t>
    <phoneticPr fontId="30" type="noConversion"/>
  </si>
  <si>
    <t>触控屏模式技术要求</t>
    <phoneticPr fontId="30" type="noConversion"/>
  </si>
  <si>
    <t>触控屏技术要求：{V}</t>
    <phoneticPr fontId="30" type="noConversion"/>
  </si>
  <si>
    <t>填写触控屏技术要求，如触摸类型(电容屏/电阻屏)、显示接口、通信接口、选型规格等，或填"无"，或提交详细说明文档。</t>
    <phoneticPr fontId="30" type="noConversion"/>
  </si>
  <si>
    <t>填写输出配线具体定制要求，如规格、颜色、线长(默认从出线口开始计算线长)、连接器等等信息。</t>
    <phoneticPr fontId="30" type="noConversion"/>
  </si>
  <si>
    <t>产品谁设计谁生产</t>
    <phoneticPr fontId="30" type="noConversion"/>
  </si>
  <si>
    <t>设计生产</t>
    <phoneticPr fontId="30" type="noConversion"/>
  </si>
  <si>
    <t>设计</t>
    <phoneticPr fontId="30" type="noConversion"/>
  </si>
  <si>
    <t>代工</t>
    <phoneticPr fontId="30" type="noConversion"/>
  </si>
  <si>
    <t>设计与生产</t>
    <phoneticPr fontId="30" type="noConversion"/>
  </si>
  <si>
    <t>仅设计</t>
    <phoneticPr fontId="30" type="noConversion"/>
  </si>
  <si>
    <t>代工</t>
    <phoneticPr fontId="30" type="noConversion"/>
  </si>
  <si>
    <t>我司负责{V}该产品</t>
    <phoneticPr fontId="30" type="noConversion"/>
  </si>
  <si>
    <t>我司仅负责{V}该产品</t>
    <phoneticPr fontId="30" type="noConversion"/>
  </si>
  <si>
    <t>对于这款产品，我司扮演什么协作角色。如果是代工，需要获取该款产品代工所需资料，如2D工程图、3D模型图、BOM、装配作业指导书、特殊工艺要求、成品检验标准、测试规范说明、成品样机、包装规范等。</t>
    <phoneticPr fontId="30" type="noConversion"/>
  </si>
  <si>
    <t>我司仅设计</t>
    <phoneticPr fontId="30" type="noConversion"/>
  </si>
  <si>
    <t>我司代工</t>
    <phoneticPr fontId="30" type="noConversion"/>
  </si>
  <si>
    <t>我司{V}该款产品</t>
    <phoneticPr fontId="30" type="noConversion"/>
  </si>
  <si>
    <t>提供的输入项数量</t>
    <phoneticPr fontId="30" type="noConversion"/>
  </si>
  <si>
    <t>共{V}项输入</t>
    <phoneticPr fontId="30" type="noConversion"/>
  </si>
  <si>
    <t>填写客户提供了多少项输入，包括要求、资料。</t>
    <phoneticPr fontId="30" type="noConversion"/>
  </si>
  <si>
    <t>请给各输入项取标题</t>
    <phoneticPr fontId="30" type="noConversion"/>
  </si>
  <si>
    <t>输入项分别有：[{V}]</t>
    <phoneticPr fontId="30" type="noConversion"/>
  </si>
  <si>
    <t>标题力求简单明了，如：3D模型、2D工程图、装配作业指导书等。</t>
    <phoneticPr fontId="30" type="noConversion"/>
  </si>
  <si>
    <t>填写各项输入项内容，或写明引用的文件编号。</t>
    <phoneticPr fontId="30" type="noConversion"/>
  </si>
  <si>
    <t>代工产品各项收入内容</t>
    <phoneticPr fontId="30" type="noConversion"/>
  </si>
  <si>
    <t>[{K}输入内容：{V}]</t>
    <phoneticPr fontId="30" type="noConversion"/>
  </si>
  <si>
    <t>填写客户对导光束输入端通光口径的要求，注意是“透光”部分。</t>
    <phoneticPr fontId="30" type="noConversion"/>
  </si>
  <si>
    <t>输入占位提示内容</t>
    <phoneticPr fontId="30" type="noConversion"/>
  </si>
  <si>
    <t>填写客户对导光束输出端通光口径的要求，注意是“透光”部分。</t>
    <phoneticPr fontId="30" type="noConversion"/>
  </si>
  <si>
    <t>填写客户对导光束NA值的要求。</t>
    <phoneticPr fontId="30" type="noConversion"/>
  </si>
  <si>
    <t>无单位</t>
    <phoneticPr fontId="30" type="noConversion"/>
  </si>
  <si>
    <t>按产品配合所需，提供导光束规格型号或外形尺寸要求，品牌如Wolf、Storz、Olympus等，注意每种品牌里可能有多种规格尺寸，最好直接提供：输入端头部尺寸、输出端头部尺寸、总长度，建议提供图纸。</t>
    <phoneticPr fontId="30" type="noConversion"/>
  </si>
  <si>
    <t>导光束转接座是由我司设计生产，还是客户自行设计生产。</t>
    <phoneticPr fontId="30" type="noConversion"/>
  </si>
  <si>
    <t>填写该项要求的典型值与公差范围。</t>
    <phoneticPr fontId="30" type="noConversion"/>
  </si>
  <si>
    <t>填写该项要求时，每一个值都应该对应一个工作距离，并注明公差，工作距离默认定义为距离出光口透镜顶点的距离，可写多个不同工作距离的要求，格式建议如：值±公差@工作距离。</t>
    <phoneticPr fontId="30" type="noConversion"/>
  </si>
  <si>
    <t>填写该项要求的典型值与公差范围。注意光束全角指的是光强为法线光强的50%处、法线两边形成的夹角。</t>
    <phoneticPr fontId="30" type="noConversion"/>
  </si>
  <si>
    <t>填写该项要求的典型值与公差范围。注意光束全角指的是光强为法线光强的10%处、法线两边形成的夹角。</t>
    <phoneticPr fontId="30" type="noConversion"/>
  </si>
  <si>
    <t>填写该项要求的下限值。</t>
    <phoneticPr fontId="30" type="noConversion"/>
  </si>
  <si>
    <t>填写该项要求的合格范围；通常为一个平面范围，意味着需要四个色坐标点来定义合格范围；或者一个中心色坐标点加上一个椭圆范围。注意该项定义的是CIE 1931 xy 色度图坐标。</t>
    <phoneticPr fontId="30" type="noConversion"/>
  </si>
  <si>
    <t>填写该项要求的合格范围；通常为一个平面范围，意味着需要四个色坐标点来定义合格范围；或者一个中心色坐标点加上一个椭圆范围。注意该项定义的是CIE 1960 uv 色度图坐标。</t>
    <phoneticPr fontId="30" type="noConversion"/>
  </si>
  <si>
    <t>填写该项要求的典型值与公差范围。例如：典型值：1:0.5:0.3；公差：±10%</t>
    <phoneticPr fontId="30" type="noConversion"/>
  </si>
  <si>
    <t>填写该项要求的典型值与公差范围；推荐YY1081-2011标准默认公差±20%。</t>
    <phoneticPr fontId="30" type="noConversion"/>
  </si>
  <si>
    <t>填写该项要求的上限值；推荐YY1081-2011标准上限6mW/lm。</t>
    <phoneticPr fontId="30" type="noConversion"/>
  </si>
  <si>
    <t>填写该项要求的上限值，客户要求≤0.5则我司部分产品不满足。</t>
    <phoneticPr fontId="30" type="noConversion"/>
  </si>
  <si>
    <t>填写该项要求的上限值；推荐YY1081-2011标准上限值2。</t>
    <phoneticPr fontId="30" type="noConversion"/>
  </si>
  <si>
    <t>填写客户要求的温度范围上下限。</t>
    <phoneticPr fontId="30" type="noConversion"/>
  </si>
  <si>
    <t>填写客户要求的噪声上限值。</t>
    <phoneticPr fontId="30" type="noConversion"/>
  </si>
  <si>
    <t>填写客户要求的外表面温度（需写明环境温度）或温升上限值</t>
    <phoneticPr fontId="30" type="noConversion"/>
  </si>
  <si>
    <t>填写产品重量上限值。</t>
    <phoneticPr fontId="30" type="noConversion"/>
  </si>
  <si>
    <t>填写具体功耗上限值。</t>
    <phoneticPr fontId="30" type="noConversion"/>
  </si>
  <si>
    <t>是否指定光源超温报警保护温度与保护逻辑，包括可能的减半输出温度、关闭温度、恢复温度等等。</t>
    <phoneticPr fontId="30" type="noConversion"/>
  </si>
  <si>
    <t>单位提示：mm</t>
  </si>
  <si>
    <t>单位提示：nm</t>
  </si>
  <si>
    <t>单位提示：lm</t>
  </si>
  <si>
    <t>单位提示：mW</t>
  </si>
  <si>
    <t>单位提示：cd</t>
  </si>
  <si>
    <t>单位提示：mW/sr</t>
  </si>
  <si>
    <t>单位提示：°</t>
  </si>
  <si>
    <t>单位提示：K</t>
  </si>
  <si>
    <t>单位提示：mW/lm</t>
  </si>
  <si>
    <t>单位提示：℃</t>
  </si>
  <si>
    <t>单位提示：dB(A)</t>
  </si>
  <si>
    <t>单位提示：kg</t>
  </si>
  <si>
    <t>单位提示：W</t>
  </si>
  <si>
    <t>单位提示：Lux、mm</t>
    <phoneticPr fontId="30" type="noConversion"/>
  </si>
  <si>
    <t>单位提示：mW/cm²、mm</t>
    <phoneticPr fontId="30" type="noConversion"/>
  </si>
  <si>
    <t>单位提示：cd/m²、mm</t>
    <phoneticPr fontId="30" type="noConversion"/>
  </si>
  <si>
    <t>单位提示：mm</t>
    <phoneticPr fontId="3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</si>
</sst>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等线"/>
      <family val="2"/>
      <scheme val="minor"/>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9"/>
      <name val="等线"/>
      <family val="3"/>
      <charset val="134"/>
      <scheme val="minor"/>
    </font>
    <font>
      <sz val="11"/>
      <color theme="1"/>
      <name val="微软雅黑"/>
      <family val="2"/>
      <charset val="134"/>
    </font>
    <font>
      <sz val="11"/>
      <name val="微软雅黑"/>
      <family val="2"/>
      <charset val="134"/>
    </font>
  </fonts>
  <fills count="2">
    <fill>
      <patternFill patternType="none"/>
    </fill>
    <fill>
      <patternFill patternType="gray125"/>
    </fill>
  </fills>
  <borders count="1">
    <border>
      <left/>
      <right/>
      <top/>
      <bottom/>
      <diagonal/>
    </border>
  </borders>
  <cellStyleXfs count="1">
    <xf numFmtId="0" fontId="0" fillId="0" borderId="0"/>
  </cellStyleXfs>
  <cellXfs count="80">
    <xf numFmtId="0" fontId="0" fillId="0" borderId="0" xfId="0"/>
    <xf numFmtId="0" fontId="0" fillId="0" borderId="0" xfId="0" applyAlignment="1">
      <alignment horizontal="center" vertical="center"/>
    </xf>
    <xf numFmtId="0" fontId="28" fillId="0" borderId="0" xfId="0" applyNumberFormat="1" applyFont="1" applyAlignment="1">
      <alignment horizontal="center" vertical="center" wrapText="1"/>
    </xf>
    <xf numFmtId="0" fontId="31" fillId="0" borderId="0" xfId="0" applyNumberFormat="1" applyFont="1" applyAlignment="1">
      <alignment horizontal="center" vertical="center" wrapText="1"/>
    </xf>
    <xf numFmtId="0" fontId="32" fillId="0" borderId="0" xfId="0" applyFont="1" applyAlignment="1">
      <alignment horizontal="center" vertical="center" wrapText="1"/>
    </xf>
    <xf numFmtId="0" fontId="31" fillId="0" borderId="0" xfId="0" applyFont="1" applyAlignment="1">
      <alignment horizontal="center" vertical="center" wrapText="1"/>
    </xf>
    <xf numFmtId="49" fontId="19" fillId="0" borderId="0" xfId="0" applyNumberFormat="1" applyFont="1" applyAlignment="1">
      <alignment horizontal="center" vertical="center" wrapText="1"/>
    </xf>
    <xf numFmtId="49" fontId="31" fillId="0" borderId="0" xfId="0" applyNumberFormat="1" applyFont="1" applyAlignment="1">
      <alignment horizontal="center" vertical="center" wrapText="1"/>
    </xf>
    <xf numFmtId="0" fontId="26" fillId="0" borderId="0" xfId="0" applyNumberFormat="1" applyFont="1" applyAlignment="1">
      <alignment horizontal="center" vertical="center" wrapText="1"/>
    </xf>
    <xf numFmtId="49" fontId="27" fillId="0" borderId="0" xfId="0" applyNumberFormat="1" applyFont="1" applyAlignment="1">
      <alignment horizontal="center" vertical="center" wrapText="1"/>
    </xf>
    <xf numFmtId="0" fontId="26" fillId="0" borderId="0" xfId="0" applyFont="1" applyAlignment="1">
      <alignment horizontal="center" vertical="center" wrapText="1"/>
    </xf>
    <xf numFmtId="0" fontId="21" fillId="0" borderId="0" xfId="0" applyFont="1" applyAlignment="1">
      <alignment horizontal="center" vertical="center" wrapText="1"/>
    </xf>
    <xf numFmtId="0" fontId="19" fillId="0" borderId="0" xfId="0" applyFont="1" applyAlignment="1">
      <alignment horizontal="left" vertical="center" wrapText="1"/>
    </xf>
    <xf numFmtId="0" fontId="31" fillId="0" borderId="0" xfId="0" applyFont="1" applyAlignment="1">
      <alignment horizontal="left" vertical="center" wrapText="1"/>
    </xf>
    <xf numFmtId="0" fontId="19" fillId="0" borderId="0" xfId="0" applyFont="1" applyAlignment="1">
      <alignment horizontal="center" vertical="center" wrapText="1"/>
    </xf>
    <xf numFmtId="49" fontId="25" fillId="0" borderId="0" xfId="0" applyNumberFormat="1" applyFont="1" applyAlignment="1">
      <alignment horizontal="center" vertical="center" wrapText="1"/>
    </xf>
    <xf numFmtId="0" fontId="27" fillId="0" borderId="0" xfId="0" applyNumberFormat="1" applyFont="1" applyAlignment="1">
      <alignment horizontal="center" vertical="center" wrapText="1"/>
    </xf>
    <xf numFmtId="0" fontId="23" fillId="0" borderId="0" xfId="0" applyNumberFormat="1" applyFont="1" applyAlignment="1">
      <alignment horizontal="center" vertical="center" wrapText="1"/>
    </xf>
    <xf numFmtId="49" fontId="24" fillId="0" borderId="0" xfId="0" applyNumberFormat="1" applyFont="1" applyAlignment="1">
      <alignment horizontal="center" vertical="center" wrapText="1"/>
    </xf>
    <xf numFmtId="0" fontId="18" fillId="0" borderId="0" xfId="0" applyFont="1" applyAlignment="1">
      <alignment horizontal="left" vertical="center" wrapText="1"/>
    </xf>
    <xf numFmtId="49" fontId="18" fillId="0" borderId="0" xfId="0" applyNumberFormat="1" applyFont="1" applyAlignment="1">
      <alignment horizontal="center" vertical="center" wrapText="1"/>
    </xf>
    <xf numFmtId="0" fontId="18" fillId="0" borderId="0" xfId="0" applyFont="1" applyAlignment="1">
      <alignment horizontal="center" vertical="center" wrapText="1"/>
    </xf>
    <xf numFmtId="49" fontId="20" fillId="0" borderId="0" xfId="0" applyNumberFormat="1" applyFont="1" applyAlignment="1">
      <alignment horizontal="center" vertical="center" wrapText="1"/>
    </xf>
    <xf numFmtId="0" fontId="24" fillId="0" borderId="0" xfId="0" applyFont="1" applyAlignment="1">
      <alignment horizontal="center" vertical="center" wrapText="1"/>
    </xf>
    <xf numFmtId="0" fontId="25" fillId="0" borderId="0" xfId="0" applyFont="1" applyAlignment="1">
      <alignment horizontal="center" vertical="center" wrapText="1"/>
    </xf>
    <xf numFmtId="0" fontId="27" fillId="0" borderId="0" xfId="0" applyFont="1" applyAlignment="1">
      <alignment horizontal="center" vertical="center" wrapText="1"/>
    </xf>
    <xf numFmtId="0" fontId="24" fillId="0" borderId="0" xfId="0" applyFont="1" applyAlignment="1">
      <alignment horizontal="left" vertical="center" wrapText="1"/>
    </xf>
    <xf numFmtId="0" fontId="29" fillId="0" borderId="0" xfId="0" applyNumberFormat="1" applyFont="1" applyAlignment="1">
      <alignment horizontal="center" vertical="center" wrapText="1"/>
    </xf>
    <xf numFmtId="49" fontId="17" fillId="0" borderId="0" xfId="0" applyNumberFormat="1" applyFont="1" applyAlignment="1">
      <alignment horizontal="center" vertical="center" wrapText="1"/>
    </xf>
    <xf numFmtId="0" fontId="17" fillId="0" borderId="0" xfId="0" applyFont="1" applyAlignment="1">
      <alignment horizontal="center" vertical="center" wrapText="1"/>
    </xf>
    <xf numFmtId="0" fontId="16" fillId="0" borderId="0" xfId="0" applyNumberFormat="1" applyFont="1" applyAlignment="1">
      <alignment horizontal="center" vertical="center" wrapText="1"/>
    </xf>
    <xf numFmtId="0" fontId="15" fillId="0" borderId="0" xfId="0" applyNumberFormat="1" applyFont="1" applyAlignment="1">
      <alignment horizontal="center" vertical="center" wrapText="1"/>
    </xf>
    <xf numFmtId="0" fontId="15" fillId="0" borderId="0" xfId="0" applyFont="1" applyAlignment="1">
      <alignment horizontal="center" vertical="center" wrapText="1"/>
    </xf>
    <xf numFmtId="49" fontId="15" fillId="0" borderId="0" xfId="0" applyNumberFormat="1" applyFont="1" applyAlignment="1">
      <alignment horizontal="center" vertical="center" wrapText="1"/>
    </xf>
    <xf numFmtId="49" fontId="14" fillId="0" borderId="0" xfId="0" applyNumberFormat="1" applyFont="1" applyAlignment="1">
      <alignment horizontal="center" vertical="center" wrapText="1"/>
    </xf>
    <xf numFmtId="0" fontId="14" fillId="0" borderId="0" xfId="0" applyFont="1" applyAlignment="1">
      <alignment horizontal="center" vertical="center" wrapText="1"/>
    </xf>
    <xf numFmtId="0" fontId="14" fillId="0" borderId="0" xfId="0" applyFont="1" applyAlignment="1">
      <alignment horizontal="left" vertical="center" wrapText="1"/>
    </xf>
    <xf numFmtId="49" fontId="13" fillId="0" borderId="0" xfId="0" applyNumberFormat="1" applyFont="1" applyAlignment="1">
      <alignment horizontal="center" vertical="center" wrapText="1"/>
    </xf>
    <xf numFmtId="0" fontId="13" fillId="0" borderId="0" xfId="0" applyFont="1" applyAlignment="1">
      <alignment horizontal="center" vertical="center" wrapText="1"/>
    </xf>
    <xf numFmtId="0" fontId="13" fillId="0" borderId="0" xfId="0" applyFont="1" applyAlignment="1">
      <alignment horizontal="left" vertical="center" wrapText="1"/>
    </xf>
    <xf numFmtId="49" fontId="12" fillId="0" borderId="0" xfId="0" applyNumberFormat="1" applyFont="1" applyAlignment="1">
      <alignment horizontal="center" vertical="center" wrapText="1"/>
    </xf>
    <xf numFmtId="49" fontId="11" fillId="0" borderId="0" xfId="0" applyNumberFormat="1" applyFont="1" applyAlignment="1">
      <alignment horizontal="center" vertical="center" wrapText="1"/>
    </xf>
    <xf numFmtId="0" fontId="11" fillId="0" borderId="0" xfId="0" applyNumberFormat="1" applyFont="1" applyAlignment="1">
      <alignment horizontal="center" vertical="center" wrapText="1"/>
    </xf>
    <xf numFmtId="0" fontId="14" fillId="0" borderId="0" xfId="0" applyNumberFormat="1" applyFont="1" applyAlignment="1">
      <alignment horizontal="center" vertical="center" wrapText="1"/>
    </xf>
    <xf numFmtId="0" fontId="25" fillId="0" borderId="0" xfId="0" applyNumberFormat="1" applyFont="1" applyAlignment="1">
      <alignment horizontal="center" vertical="center" wrapText="1"/>
    </xf>
    <xf numFmtId="0" fontId="18" fillId="0" borderId="0" xfId="0" applyNumberFormat="1" applyFont="1" applyAlignment="1">
      <alignment horizontal="center" vertical="center" wrapText="1"/>
    </xf>
    <xf numFmtId="0" fontId="17" fillId="0" borderId="0" xfId="0" applyNumberFormat="1" applyFont="1" applyAlignment="1">
      <alignment horizontal="center" vertical="center" wrapText="1"/>
    </xf>
    <xf numFmtId="0" fontId="24" fillId="0" borderId="0" xfId="0" applyNumberFormat="1" applyFont="1" applyAlignment="1">
      <alignment horizontal="center" vertical="center" wrapText="1"/>
    </xf>
    <xf numFmtId="0" fontId="13" fillId="0" borderId="0" xfId="0" applyNumberFormat="1" applyFont="1" applyAlignment="1">
      <alignment horizontal="center" vertical="center" wrapText="1"/>
    </xf>
    <xf numFmtId="0" fontId="11" fillId="0" borderId="0" xfId="0" applyFont="1" applyAlignment="1">
      <alignment horizontal="center" vertical="center" wrapText="1"/>
    </xf>
    <xf numFmtId="0" fontId="10" fillId="0" borderId="0" xfId="0" applyFont="1" applyAlignment="1">
      <alignment horizontal="center" vertical="center" wrapText="1"/>
    </xf>
    <xf numFmtId="0" fontId="9" fillId="0" borderId="0" xfId="0" applyFont="1" applyAlignment="1">
      <alignment horizontal="center" vertical="center" wrapText="1"/>
    </xf>
    <xf numFmtId="49" fontId="9" fillId="0" borderId="0" xfId="0" applyNumberFormat="1" applyFont="1" applyAlignment="1">
      <alignment horizontal="center" vertical="center" wrapText="1"/>
    </xf>
    <xf numFmtId="49" fontId="8" fillId="0" borderId="0" xfId="0" applyNumberFormat="1" applyFont="1" applyAlignment="1">
      <alignment horizontal="center" vertical="center" wrapText="1"/>
    </xf>
    <xf numFmtId="0" fontId="19" fillId="0" borderId="0" xfId="0" applyNumberFormat="1" applyFont="1" applyAlignment="1">
      <alignment horizontal="center" vertical="center" wrapText="1"/>
    </xf>
    <xf numFmtId="0" fontId="8" fillId="0" borderId="0" xfId="0" applyNumberFormat="1" applyFont="1" applyAlignment="1">
      <alignment horizontal="center" vertical="center" wrapText="1"/>
    </xf>
    <xf numFmtId="0" fontId="22" fillId="0" borderId="0" xfId="0" applyNumberFormat="1" applyFont="1" applyAlignment="1">
      <alignment horizontal="center" vertical="center" wrapText="1"/>
    </xf>
    <xf numFmtId="0" fontId="10" fillId="0" borderId="0" xfId="0" applyNumberFormat="1" applyFont="1" applyAlignment="1">
      <alignment horizontal="center" vertical="center" wrapText="1"/>
    </xf>
    <xf numFmtId="0" fontId="7" fillId="0" borderId="0" xfId="0" applyFont="1" applyAlignment="1">
      <alignment horizontal="center" vertical="center" wrapText="1"/>
    </xf>
    <xf numFmtId="49" fontId="7" fillId="0" borderId="0" xfId="0" applyNumberFormat="1" applyFont="1" applyAlignment="1">
      <alignment horizontal="center" vertical="center" wrapText="1"/>
    </xf>
    <xf numFmtId="49" fontId="6" fillId="0" borderId="0" xfId="0" applyNumberFormat="1"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5" fillId="0" borderId="0" xfId="0" applyNumberFormat="1" applyFont="1" applyAlignment="1">
      <alignment horizontal="center" vertical="center" wrapText="1"/>
    </xf>
    <xf numFmtId="0" fontId="4" fillId="0" borderId="0" xfId="0" applyFont="1" applyAlignment="1">
      <alignment horizontal="left" vertical="center" wrapText="1"/>
    </xf>
    <xf numFmtId="49" fontId="4" fillId="0" borderId="0" xfId="0" applyNumberFormat="1" applyFont="1" applyAlignment="1">
      <alignment horizontal="center" vertical="center" wrapText="1"/>
    </xf>
    <xf numFmtId="0" fontId="4" fillId="0" borderId="0" xfId="0" applyNumberFormat="1" applyFont="1" applyAlignment="1">
      <alignment horizontal="center" vertical="center" wrapText="1"/>
    </xf>
    <xf numFmtId="0" fontId="4" fillId="0" borderId="0" xfId="0" applyFont="1" applyAlignment="1">
      <alignment horizontal="center" vertical="center" wrapText="1"/>
    </xf>
    <xf numFmtId="49" fontId="3" fillId="0" borderId="0" xfId="0" applyNumberFormat="1" applyFont="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NumberFormat="1" applyFont="1" applyAlignment="1">
      <alignment horizontal="center" vertical="center" wrapText="1"/>
    </xf>
    <xf numFmtId="0" fontId="11" fillId="0" borderId="0" xfId="0" applyNumberFormat="1" applyFont="1" applyFill="1" applyAlignment="1">
      <alignment horizontal="center" vertical="center" wrapText="1"/>
    </xf>
    <xf numFmtId="49" fontId="2" fillId="0" borderId="0" xfId="0" applyNumberFormat="1"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NumberFormat="1" applyFont="1" applyAlignment="1">
      <alignment horizontal="center" vertical="center" wrapText="1"/>
    </xf>
    <xf numFmtId="0" fontId="1" fillId="0" borderId="0" xfId="0" applyNumberFormat="1"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cellXfs>
  <cellStyles count="1">
    <cellStyle name="常规" xfId="0" builtinId="0"/>
  </cellStyles>
  <dxfs count="5">
    <dxf>
      <font>
        <color rgb="FF00B050"/>
      </font>
      <numFmt numFmtId="176" formatCode="0.00_ "/>
    </dxf>
    <dxf>
      <font>
        <color rgb="FFFF0000"/>
      </font>
      <numFmt numFmtId="176" formatCode="0.00_ "/>
    </dxf>
    <dxf>
      <fill>
        <patternFill>
          <bgColor rgb="FFFFFF00"/>
        </patternFill>
      </fill>
    </dxf>
    <dxf>
      <fill>
        <patternFill>
          <bgColor theme="5" tint="0.79998168889431442"/>
        </patternFill>
      </fill>
    </dxf>
    <dxf>
      <fill>
        <patternFill>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384"/>
  <sheetViews>
    <sheetView tabSelected="1" zoomScaleNormal="100" workbookViewId="0">
      <pane xSplit="5" ySplit="1" topLeftCell="F190" activePane="bottomRight" state="frozen"/>
      <selection pane="topRight" activeCell="F1" sqref="F1"/>
      <selection pane="bottomLeft" activeCell="A2" sqref="A2"/>
      <selection pane="bottomRight" activeCell="C204" sqref="C204"/>
    </sheetView>
  </sheetViews>
  <sheetFormatPr defaultRowHeight="15.6"/>
  <cols>
    <col min="1" max="1" width="6.33203125" style="3" customWidth="1"/>
    <col min="2" max="2" width="7.6640625" style="3" customWidth="1"/>
    <col min="3" max="3" width="25.77734375" style="3" customWidth="1"/>
    <col min="4" max="4" width="49.6640625" style="4" customWidth="1"/>
    <col min="5" max="5" width="11.33203125" style="5" customWidth="1"/>
    <col min="6" max="6" width="9.21875" style="3" customWidth="1"/>
    <col min="7" max="7" width="21.6640625" style="5" customWidth="1"/>
    <col min="8" max="8" width="13.21875" style="7" customWidth="1"/>
    <col min="9" max="9" width="25.44140625" style="7" customWidth="1"/>
    <col min="10" max="10" width="12.88671875" style="3" customWidth="1"/>
    <col min="11" max="11" width="18.5546875" style="3" customWidth="1"/>
    <col min="12" max="12" width="12.33203125" style="5" customWidth="1"/>
    <col min="13" max="13" width="74.21875" style="5" customWidth="1"/>
    <col min="14" max="15" width="11" style="3" customWidth="1"/>
    <col min="16" max="16" width="10.33203125" style="7" customWidth="1"/>
    <col min="17" max="17" width="92.6640625" style="13" customWidth="1"/>
    <col min="18" max="18" width="26.6640625" style="5" customWidth="1"/>
    <col min="19" max="16384" width="8.88671875" style="5"/>
  </cols>
  <sheetData>
    <row r="1" spans="1:18" ht="31.2">
      <c r="A1" s="30" t="s">
        <v>310</v>
      </c>
      <c r="B1" s="31" t="s">
        <v>313</v>
      </c>
      <c r="C1" s="3" t="s">
        <v>53</v>
      </c>
      <c r="D1" s="4" t="s">
        <v>3</v>
      </c>
      <c r="E1" s="5" t="s">
        <v>4</v>
      </c>
      <c r="F1" s="54" t="s">
        <v>172</v>
      </c>
      <c r="G1" s="5" t="s">
        <v>0</v>
      </c>
      <c r="H1" s="7" t="s">
        <v>54</v>
      </c>
      <c r="I1" s="52" t="s">
        <v>474</v>
      </c>
      <c r="J1" s="72" t="s">
        <v>422</v>
      </c>
      <c r="K1" s="42" t="s">
        <v>425</v>
      </c>
      <c r="L1" s="5" t="s">
        <v>17</v>
      </c>
      <c r="M1" s="51" t="s">
        <v>473</v>
      </c>
      <c r="N1" s="8" t="s">
        <v>134</v>
      </c>
      <c r="O1" s="8" t="s">
        <v>133</v>
      </c>
      <c r="P1" s="9" t="s">
        <v>131</v>
      </c>
      <c r="Q1" s="10" t="s">
        <v>130</v>
      </c>
      <c r="R1" s="78" t="s">
        <v>932</v>
      </c>
    </row>
    <row r="2" spans="1:18" ht="46.8">
      <c r="A2" s="3">
        <v>1</v>
      </c>
      <c r="B2" s="3">
        <f>A2</f>
        <v>1</v>
      </c>
      <c r="C2" s="3" t="s">
        <v>126</v>
      </c>
      <c r="D2" s="4" t="s">
        <v>909</v>
      </c>
      <c r="E2" s="5" t="s">
        <v>5</v>
      </c>
      <c r="F2" s="46" t="s">
        <v>141</v>
      </c>
      <c r="G2" s="73" t="s">
        <v>736</v>
      </c>
      <c r="H2" s="73" t="s">
        <v>910</v>
      </c>
      <c r="I2" s="73" t="s">
        <v>913</v>
      </c>
      <c r="J2" s="42" t="s">
        <v>423</v>
      </c>
      <c r="K2" s="42" t="s">
        <v>424</v>
      </c>
      <c r="M2" s="74" t="s">
        <v>916</v>
      </c>
      <c r="Q2" s="75" t="s">
        <v>918</v>
      </c>
    </row>
    <row r="3" spans="1:18">
      <c r="A3" s="3" cm="1">
        <f t="array" aca="1" ref="A3" ca="1">INDIRECT("A"&amp;ROW()-1)</f>
        <v>1</v>
      </c>
      <c r="B3" s="3" t="str">
        <f t="shared" ref="B3:B66" ca="1" si="0">IF(A3=A2,"",A3)</f>
        <v/>
      </c>
      <c r="F3" s="46" t="s">
        <v>141</v>
      </c>
      <c r="G3" s="73" t="s">
        <v>919</v>
      </c>
      <c r="H3" s="73" t="s">
        <v>911</v>
      </c>
      <c r="I3" s="73" t="s">
        <v>911</v>
      </c>
      <c r="J3" s="42"/>
      <c r="K3" s="42"/>
      <c r="L3" s="74" t="s">
        <v>914</v>
      </c>
      <c r="M3" s="74" t="s">
        <v>917</v>
      </c>
    </row>
    <row r="4" spans="1:18">
      <c r="A4" s="3" cm="1">
        <f t="array" aca="1" ref="A4" ca="1">INDIRECT("A"&amp;ROW()-1)</f>
        <v>1</v>
      </c>
      <c r="B4" s="3" t="str">
        <f t="shared" ca="1" si="0"/>
        <v/>
      </c>
      <c r="F4" s="55" t="str">
        <f>F2</f>
        <v>FALSE</v>
      </c>
      <c r="G4" s="73" t="s">
        <v>920</v>
      </c>
      <c r="H4" s="73" t="s">
        <v>912</v>
      </c>
      <c r="I4" s="73" t="s">
        <v>912</v>
      </c>
      <c r="J4" s="42"/>
      <c r="K4" s="42"/>
      <c r="L4" s="74" t="s">
        <v>915</v>
      </c>
      <c r="M4" s="74" t="s">
        <v>921</v>
      </c>
    </row>
    <row r="5" spans="1:18">
      <c r="A5" s="3" cm="1">
        <f t="array" aca="1" ref="A5" ca="1">INDIRECT("A"&amp;ROW()-1)+1</f>
        <v>2</v>
      </c>
      <c r="B5" s="3">
        <f t="shared" ca="1" si="0"/>
        <v>2</v>
      </c>
      <c r="C5" s="76" t="str">
        <f>A2&amp;"==代工"</f>
        <v>1==代工</v>
      </c>
      <c r="D5" s="4" t="s">
        <v>922</v>
      </c>
      <c r="E5" s="68" t="s">
        <v>135</v>
      </c>
      <c r="F5" s="20" t="b">
        <v>0</v>
      </c>
      <c r="H5" s="15" t="s">
        <v>136</v>
      </c>
      <c r="I5" s="15"/>
      <c r="J5" s="44" t="str">
        <f>J2</f>
        <v>1</v>
      </c>
      <c r="K5" s="76" t="s">
        <v>424</v>
      </c>
      <c r="M5" s="74" t="s">
        <v>923</v>
      </c>
      <c r="N5" s="16"/>
      <c r="O5" s="8"/>
      <c r="P5" s="68"/>
      <c r="Q5" s="75" t="s">
        <v>924</v>
      </c>
    </row>
    <row r="6" spans="1:18">
      <c r="A6" s="3" cm="1">
        <f t="array" aca="1" ref="A6" ca="1">INDIRECT("A"&amp;ROW()-1)+1</f>
        <v>3</v>
      </c>
      <c r="B6" s="3">
        <f t="shared" ca="1" si="0"/>
        <v>3</v>
      </c>
      <c r="C6" s="3" t="str">
        <f>A2&amp;"==代工"</f>
        <v>1==代工</v>
      </c>
      <c r="D6" s="4" t="s">
        <v>925</v>
      </c>
      <c r="E6" s="25" t="s">
        <v>153</v>
      </c>
      <c r="F6" s="56" t="s">
        <v>141</v>
      </c>
      <c r="H6" s="15" t="s">
        <v>136</v>
      </c>
      <c r="I6" s="15"/>
      <c r="J6" s="44" t="str">
        <f>J5</f>
        <v>1</v>
      </c>
      <c r="K6" s="42" t="s">
        <v>424</v>
      </c>
      <c r="M6" s="74" t="s">
        <v>926</v>
      </c>
      <c r="N6" s="16">
        <f ca="1">A5</f>
        <v>2</v>
      </c>
      <c r="O6" s="16"/>
      <c r="P6" s="9"/>
      <c r="Q6" s="75" t="s">
        <v>927</v>
      </c>
    </row>
    <row r="7" spans="1:18">
      <c r="A7" s="3" cm="1">
        <f t="array" aca="1" ref="A7" ca="1">INDIRECT("A"&amp;ROW()-1)+1</f>
        <v>4</v>
      </c>
      <c r="B7" s="3">
        <f t="shared" ca="1" si="0"/>
        <v>4</v>
      </c>
      <c r="C7" s="3" t="str">
        <f>A2&amp;"==代工"</f>
        <v>1==代工</v>
      </c>
      <c r="D7" s="4" t="s">
        <v>929</v>
      </c>
      <c r="E7" s="11" t="s">
        <v>154</v>
      </c>
      <c r="F7" s="45" t="s">
        <v>132</v>
      </c>
      <c r="H7" s="15" t="s">
        <v>136</v>
      </c>
      <c r="I7" s="15"/>
      <c r="J7" s="44" t="str">
        <f>J5</f>
        <v>1</v>
      </c>
      <c r="K7" s="71" t="s">
        <v>424</v>
      </c>
      <c r="M7" s="78" t="s">
        <v>930</v>
      </c>
      <c r="N7" s="16">
        <f ca="1">A5</f>
        <v>2</v>
      </c>
      <c r="O7" s="8">
        <f ca="1">A6</f>
        <v>3</v>
      </c>
      <c r="P7" s="9"/>
      <c r="Q7" s="75" t="s">
        <v>928</v>
      </c>
    </row>
    <row r="8" spans="1:18">
      <c r="A8" s="3" cm="1">
        <f t="array" aca="1" ref="A8" ca="1">INDIRECT("A"&amp;ROW()-1)+1</f>
        <v>5</v>
      </c>
      <c r="B8" s="3">
        <f t="shared" ca="1" si="0"/>
        <v>5</v>
      </c>
      <c r="C8" s="3" t="str">
        <f>A2&amp;"!=代工"</f>
        <v>1!=代工</v>
      </c>
      <c r="D8" s="4" t="s">
        <v>8</v>
      </c>
      <c r="E8" s="5" t="s">
        <v>5</v>
      </c>
      <c r="F8" s="46" t="s">
        <v>141</v>
      </c>
      <c r="G8" s="5" t="s">
        <v>9</v>
      </c>
      <c r="H8" s="7" t="s">
        <v>9</v>
      </c>
      <c r="I8" s="7" t="s">
        <v>9</v>
      </c>
      <c r="J8" s="42" t="str">
        <f>J2</f>
        <v>1</v>
      </c>
      <c r="K8" s="42" t="s">
        <v>424</v>
      </c>
      <c r="L8" s="5" t="s">
        <v>9</v>
      </c>
      <c r="M8" s="32" t="s">
        <v>354</v>
      </c>
      <c r="Q8" s="12" t="s">
        <v>161</v>
      </c>
    </row>
    <row r="9" spans="1:18">
      <c r="A9" s="3" cm="1">
        <f t="array" aca="1" ref="A9" ca="1">INDIRECT("A"&amp;ROW()-1)</f>
        <v>5</v>
      </c>
      <c r="B9" s="3" t="str">
        <f t="shared" ca="1" si="0"/>
        <v/>
      </c>
      <c r="F9" s="55" t="str">
        <f>F8</f>
        <v>FALSE</v>
      </c>
      <c r="G9" s="5" t="s">
        <v>10</v>
      </c>
      <c r="H9" s="7" t="s">
        <v>10</v>
      </c>
      <c r="I9" s="7" t="s">
        <v>10</v>
      </c>
      <c r="J9" s="42"/>
      <c r="K9" s="42"/>
      <c r="L9" s="5" t="s">
        <v>10</v>
      </c>
      <c r="M9" s="32" t="s">
        <v>354</v>
      </c>
    </row>
    <row r="10" spans="1:18">
      <c r="A10" s="3" cm="1">
        <f t="array" aca="1" ref="A10" ca="1">INDIRECT("A"&amp;ROW()-1)+1</f>
        <v>6</v>
      </c>
      <c r="B10" s="3">
        <f t="shared" ca="1" si="0"/>
        <v>6</v>
      </c>
      <c r="C10" s="3" t="str">
        <f>A2&amp;"!=代工"</f>
        <v>1!=代工</v>
      </c>
      <c r="D10" s="4" t="s">
        <v>728</v>
      </c>
      <c r="E10" s="5" t="s">
        <v>5</v>
      </c>
      <c r="F10" s="46" t="s">
        <v>141</v>
      </c>
      <c r="G10" s="68" t="s">
        <v>729</v>
      </c>
      <c r="H10" s="7" t="b">
        <v>1</v>
      </c>
      <c r="I10" s="68" t="s">
        <v>730</v>
      </c>
      <c r="J10" s="42" t="str">
        <f>J2</f>
        <v>1</v>
      </c>
      <c r="K10" s="42" t="s">
        <v>424</v>
      </c>
      <c r="M10" s="70" t="s">
        <v>731</v>
      </c>
      <c r="Q10" s="69" t="s">
        <v>733</v>
      </c>
    </row>
    <row r="11" spans="1:18">
      <c r="A11" s="3" cm="1">
        <f t="array" aca="1" ref="A11" ca="1">INDIRECT("A"&amp;ROW()-1)</f>
        <v>6</v>
      </c>
      <c r="B11" s="3" t="str">
        <f t="shared" ca="1" si="0"/>
        <v/>
      </c>
      <c r="F11" s="55" t="str">
        <f>F10</f>
        <v>FALSE</v>
      </c>
      <c r="G11" s="68" t="s">
        <v>665</v>
      </c>
      <c r="H11" s="7" t="b">
        <v>0</v>
      </c>
      <c r="I11" s="68" t="s">
        <v>665</v>
      </c>
      <c r="J11" s="42"/>
      <c r="K11" s="42"/>
      <c r="M11" s="70" t="s">
        <v>732</v>
      </c>
    </row>
    <row r="12" spans="1:18">
      <c r="A12" s="3" cm="1">
        <f t="array" aca="1" ref="A12" ca="1">INDIRECT("A"&amp;ROW()-1)+1</f>
        <v>7</v>
      </c>
      <c r="B12" s="3">
        <f t="shared" ca="1" si="0"/>
        <v>7</v>
      </c>
      <c r="C12" s="3" t="str">
        <f>A2&amp;"!=代工"</f>
        <v>1!=代工</v>
      </c>
      <c r="D12" s="4" t="s">
        <v>11</v>
      </c>
      <c r="E12" s="5" t="s">
        <v>6</v>
      </c>
      <c r="F12" s="54" t="s">
        <v>141</v>
      </c>
      <c r="G12" s="68" t="s">
        <v>719</v>
      </c>
      <c r="H12" s="7" t="s">
        <v>58</v>
      </c>
      <c r="I12" s="7" t="s">
        <v>58</v>
      </c>
      <c r="J12" s="42" t="str">
        <f>J2</f>
        <v>1</v>
      </c>
      <c r="K12" s="42" t="s">
        <v>424</v>
      </c>
      <c r="L12" s="7"/>
      <c r="M12" s="32" t="s">
        <v>355</v>
      </c>
      <c r="Q12" s="12" t="s">
        <v>160</v>
      </c>
    </row>
    <row r="13" spans="1:18">
      <c r="A13" s="3" cm="1">
        <f t="array" aca="1" ref="A13" ca="1">INDIRECT("A"&amp;ROW()-1)</f>
        <v>7</v>
      </c>
      <c r="B13" s="3" t="str">
        <f t="shared" ca="1" si="0"/>
        <v/>
      </c>
      <c r="F13" s="55" t="str">
        <f>F12</f>
        <v>FALSE</v>
      </c>
      <c r="G13" s="68" t="s">
        <v>12</v>
      </c>
      <c r="H13" s="7" t="s">
        <v>57</v>
      </c>
      <c r="I13" s="7" t="s">
        <v>57</v>
      </c>
      <c r="L13" s="7"/>
    </row>
    <row r="14" spans="1:18">
      <c r="A14" s="3" cm="1">
        <f t="array" aca="1" ref="A14" ca="1">INDIRECT("A"&amp;ROW()-1)</f>
        <v>7</v>
      </c>
      <c r="B14" s="3" t="str">
        <f t="shared" ca="1" si="0"/>
        <v/>
      </c>
      <c r="F14" s="55" t="str">
        <f>F13</f>
        <v>FALSE</v>
      </c>
      <c r="G14" s="68" t="s">
        <v>721</v>
      </c>
      <c r="H14" s="68" t="s">
        <v>721</v>
      </c>
      <c r="I14" s="68" t="s">
        <v>721</v>
      </c>
      <c r="L14" s="7"/>
    </row>
    <row r="15" spans="1:18">
      <c r="A15" s="3" cm="1">
        <f t="array" aca="1" ref="A15" ca="1">INDIRECT("A"&amp;ROW()-1)</f>
        <v>7</v>
      </c>
      <c r="B15" s="3" t="str">
        <f t="shared" ca="1" si="0"/>
        <v/>
      </c>
      <c r="F15" s="55" t="str">
        <f t="shared" ref="F15:F16" si="1">F14</f>
        <v>FALSE</v>
      </c>
      <c r="G15" s="68" t="s">
        <v>720</v>
      </c>
      <c r="H15" s="7" t="s">
        <v>55</v>
      </c>
      <c r="I15" s="7" t="s">
        <v>55</v>
      </c>
      <c r="L15" s="7"/>
    </row>
    <row r="16" spans="1:18">
      <c r="A16" s="3" cm="1">
        <f t="array" aca="1" ref="A16" ca="1">INDIRECT("A"&amp;ROW()-1)</f>
        <v>7</v>
      </c>
      <c r="B16" s="3" t="str">
        <f t="shared" ca="1" si="0"/>
        <v/>
      </c>
      <c r="F16" s="55" t="str">
        <f t="shared" si="1"/>
        <v>FALSE</v>
      </c>
      <c r="G16" s="5" t="s">
        <v>13</v>
      </c>
      <c r="H16" s="7" t="s">
        <v>56</v>
      </c>
      <c r="I16" s="7" t="s">
        <v>56</v>
      </c>
      <c r="L16" s="7"/>
    </row>
    <row r="17" spans="1:17" ht="31.2">
      <c r="A17" s="3" cm="1">
        <f t="array" aca="1" ref="A17" ca="1">INDIRECT("A"&amp;ROW()-1)+1</f>
        <v>8</v>
      </c>
      <c r="B17" s="3">
        <f t="shared" ca="1" si="0"/>
        <v>8</v>
      </c>
      <c r="C17" s="3" t="str">
        <f ca="1">A8&amp;"==模组 and "&amp;A12&amp;"any['结构']"</f>
        <v>5==模组 and 7any['结构']</v>
      </c>
      <c r="D17" s="4" t="s">
        <v>781</v>
      </c>
      <c r="E17" s="5" t="s">
        <v>5</v>
      </c>
      <c r="F17" s="46" t="s">
        <v>141</v>
      </c>
      <c r="G17" s="68" t="s">
        <v>729</v>
      </c>
      <c r="H17" s="7" t="b">
        <v>1</v>
      </c>
      <c r="I17" s="68" t="s">
        <v>729</v>
      </c>
      <c r="J17" s="42" t="str">
        <f>J2</f>
        <v>1</v>
      </c>
      <c r="K17" s="42" t="s">
        <v>424</v>
      </c>
      <c r="L17" s="70" t="s">
        <v>782</v>
      </c>
      <c r="M17" s="70" t="s">
        <v>784</v>
      </c>
      <c r="Q17" s="69" t="s">
        <v>785</v>
      </c>
    </row>
    <row r="18" spans="1:17">
      <c r="A18" s="3" cm="1">
        <f t="array" aca="1" ref="A18" ca="1">INDIRECT("A"&amp;ROW()-1)</f>
        <v>8</v>
      </c>
      <c r="B18" s="3" t="str">
        <f t="shared" ca="1" si="0"/>
        <v/>
      </c>
      <c r="F18" s="55" t="str">
        <f>F17</f>
        <v>FALSE</v>
      </c>
      <c r="G18" s="68" t="s">
        <v>665</v>
      </c>
      <c r="H18" s="7" t="b">
        <v>0</v>
      </c>
      <c r="I18" s="68" t="s">
        <v>665</v>
      </c>
      <c r="J18" s="42"/>
      <c r="K18" s="42"/>
      <c r="L18" s="70" t="s">
        <v>783</v>
      </c>
      <c r="M18" s="70" t="s">
        <v>784</v>
      </c>
    </row>
    <row r="19" spans="1:17" ht="31.2">
      <c r="A19" s="3" cm="1">
        <f t="array" aca="1" ref="A19" ca="1">INDIRECT("A"&amp;ROW()-1)+1</f>
        <v>9</v>
      </c>
      <c r="B19" s="3">
        <f t="shared" ca="1" si="0"/>
        <v>9</v>
      </c>
      <c r="C19" s="3" t="str">
        <f ca="1">A14&amp;"any['结构','光学']"</f>
        <v>7any['结构','光学']</v>
      </c>
      <c r="D19" s="4" t="s">
        <v>822</v>
      </c>
      <c r="E19" s="11" t="s">
        <v>154</v>
      </c>
      <c r="F19" s="45" t="s">
        <v>132</v>
      </c>
      <c r="H19" s="15" t="s">
        <v>136</v>
      </c>
      <c r="I19" s="15"/>
      <c r="J19" s="44" t="str">
        <f>J2</f>
        <v>1</v>
      </c>
      <c r="K19" s="71" t="s">
        <v>424</v>
      </c>
      <c r="M19" s="70" t="s">
        <v>821</v>
      </c>
      <c r="N19" s="16"/>
      <c r="O19" s="8"/>
      <c r="P19" s="9"/>
      <c r="Q19" s="69" t="s">
        <v>823</v>
      </c>
    </row>
    <row r="20" spans="1:17">
      <c r="A20" s="3" cm="1">
        <f t="array" aca="1" ref="A20" ca="1">INDIRECT("A"&amp;ROW()-1)+1</f>
        <v>10</v>
      </c>
      <c r="B20" s="3">
        <f t="shared" ca="1" si="0"/>
        <v>10</v>
      </c>
      <c r="C20" s="71" t="str">
        <f>A2&amp;"!=代工"</f>
        <v>1!=代工</v>
      </c>
      <c r="D20" s="4" t="s">
        <v>825</v>
      </c>
      <c r="E20" s="68" t="s">
        <v>135</v>
      </c>
      <c r="F20" s="20" t="b">
        <v>0</v>
      </c>
      <c r="H20" s="15" t="s">
        <v>136</v>
      </c>
      <c r="I20" s="15"/>
      <c r="J20" s="44" t="str">
        <f>J2</f>
        <v>1</v>
      </c>
      <c r="K20" s="71" t="s">
        <v>824</v>
      </c>
      <c r="M20" s="70" t="s">
        <v>826</v>
      </c>
      <c r="N20" s="16"/>
      <c r="O20" s="8"/>
      <c r="P20" s="68" t="s">
        <v>827</v>
      </c>
      <c r="Q20" s="69" t="s">
        <v>828</v>
      </c>
    </row>
    <row r="21" spans="1:17">
      <c r="A21" s="3" cm="1">
        <f t="array" aca="1" ref="A21" ca="1">INDIRECT("A"&amp;ROW()-1)+1</f>
        <v>11</v>
      </c>
      <c r="B21" s="3">
        <f t="shared" ca="1" si="0"/>
        <v>11</v>
      </c>
      <c r="C21" s="3" t="str">
        <f ca="1">A17&amp;"==True or "&amp;A8&amp;"==整机"</f>
        <v>8==True or 5==整机</v>
      </c>
      <c r="D21" s="4" t="s">
        <v>786</v>
      </c>
      <c r="E21" s="11" t="s">
        <v>154</v>
      </c>
      <c r="F21" s="45" t="s">
        <v>132</v>
      </c>
      <c r="H21" s="15" t="s">
        <v>136</v>
      </c>
      <c r="I21" s="15"/>
      <c r="J21" s="44" t="str">
        <f>J17</f>
        <v>1</v>
      </c>
      <c r="K21" s="66" t="s">
        <v>428</v>
      </c>
      <c r="M21" s="70" t="s">
        <v>787</v>
      </c>
      <c r="N21" s="16"/>
      <c r="O21" s="8"/>
      <c r="P21" s="9"/>
      <c r="Q21" s="69" t="s">
        <v>788</v>
      </c>
    </row>
    <row r="22" spans="1:17">
      <c r="A22" s="3" cm="1">
        <f t="array" aca="1" ref="A22" ca="1">INDIRECT("A"&amp;ROW()-1)+1</f>
        <v>12</v>
      </c>
      <c r="B22" s="3">
        <f t="shared" ca="1" si="0"/>
        <v>12</v>
      </c>
      <c r="C22" s="3" t="str">
        <f ca="1">A8&amp;"==模组 and "&amp;A12&amp;"any['硬件']"</f>
        <v>5==模组 and 7any['硬件']</v>
      </c>
      <c r="D22" s="4" t="s">
        <v>683</v>
      </c>
      <c r="E22" s="5" t="s">
        <v>5</v>
      </c>
      <c r="F22" s="56" t="s">
        <v>141</v>
      </c>
      <c r="G22" s="68" t="s">
        <v>685</v>
      </c>
      <c r="H22" s="68" t="s">
        <v>686</v>
      </c>
      <c r="I22" s="68" t="s">
        <v>686</v>
      </c>
      <c r="J22" s="42" t="str">
        <f>J2</f>
        <v>1</v>
      </c>
      <c r="K22" s="42" t="s">
        <v>424</v>
      </c>
      <c r="L22" s="68" t="s">
        <v>685</v>
      </c>
      <c r="M22" s="70" t="s">
        <v>689</v>
      </c>
      <c r="Q22" s="69" t="s">
        <v>692</v>
      </c>
    </row>
    <row r="23" spans="1:17">
      <c r="A23" s="3" cm="1">
        <f t="array" aca="1" ref="A23" ca="1">INDIRECT("A"&amp;ROW()-1)</f>
        <v>12</v>
      </c>
      <c r="B23" s="3" t="str">
        <f t="shared" ca="1" si="0"/>
        <v/>
      </c>
      <c r="F23" s="56"/>
      <c r="G23" s="70" t="s">
        <v>688</v>
      </c>
      <c r="H23" s="68" t="s">
        <v>687</v>
      </c>
      <c r="I23" s="68" t="s">
        <v>687</v>
      </c>
      <c r="J23" s="42"/>
      <c r="K23" s="42"/>
      <c r="L23" s="70" t="s">
        <v>688</v>
      </c>
      <c r="M23" s="70" t="s">
        <v>689</v>
      </c>
      <c r="Q23" s="12"/>
    </row>
    <row r="24" spans="1:17">
      <c r="A24" s="3" cm="1">
        <f t="array" aca="1" ref="A24" ca="1">INDIRECT("A"&amp;ROW()-1)</f>
        <v>12</v>
      </c>
      <c r="B24" s="3" t="str">
        <f t="shared" ca="1" si="0"/>
        <v/>
      </c>
      <c r="F24" s="55" t="str">
        <f>F22</f>
        <v>FALSE</v>
      </c>
      <c r="G24" s="68" t="s">
        <v>690</v>
      </c>
      <c r="H24" s="68" t="s">
        <v>691</v>
      </c>
      <c r="I24" s="68" t="s">
        <v>691</v>
      </c>
      <c r="J24" s="31"/>
      <c r="K24" s="31"/>
      <c r="L24" s="68" t="s">
        <v>684</v>
      </c>
      <c r="M24" s="70" t="s">
        <v>689</v>
      </c>
    </row>
    <row r="25" spans="1:17">
      <c r="A25" s="3" cm="1">
        <f t="array" aca="1" ref="A25" ca="1">INDIRECT("A"&amp;ROW()-1)+1</f>
        <v>13</v>
      </c>
      <c r="B25" s="3">
        <f t="shared" ca="1" si="0"/>
        <v>13</v>
      </c>
      <c r="C25" s="3" t="str">
        <f ca="1">A12&amp;"any['光学','结构']"</f>
        <v>7any['光学','结构']</v>
      </c>
      <c r="D25" s="4" t="s">
        <v>7</v>
      </c>
      <c r="E25" s="5" t="s">
        <v>5</v>
      </c>
      <c r="F25" s="56" t="s">
        <v>141</v>
      </c>
      <c r="G25" s="5" t="s">
        <v>1</v>
      </c>
      <c r="H25" s="7" t="b">
        <v>1</v>
      </c>
      <c r="I25" s="33" t="s">
        <v>314</v>
      </c>
      <c r="J25" s="42">
        <v>2</v>
      </c>
      <c r="K25" s="42" t="s">
        <v>424</v>
      </c>
      <c r="L25" s="51" t="s">
        <v>575</v>
      </c>
      <c r="M25" s="32" t="s">
        <v>356</v>
      </c>
      <c r="Q25" s="12" t="s">
        <v>162</v>
      </c>
    </row>
    <row r="26" spans="1:17">
      <c r="A26" s="3" cm="1">
        <f t="array" aca="1" ref="A26" ca="1">INDIRECT("A"&amp;ROW()-1)</f>
        <v>13</v>
      </c>
      <c r="B26" s="3" t="str">
        <f t="shared" ca="1" si="0"/>
        <v/>
      </c>
      <c r="F26" s="55" t="str">
        <f t="shared" ref="F26:F40" si="2">F25</f>
        <v>FALSE</v>
      </c>
      <c r="G26" s="5" t="s">
        <v>2</v>
      </c>
      <c r="H26" s="7" t="b">
        <v>0</v>
      </c>
      <c r="I26" s="33" t="s">
        <v>315</v>
      </c>
      <c r="J26" s="31"/>
      <c r="K26" s="31"/>
      <c r="L26" s="38" t="s">
        <v>418</v>
      </c>
      <c r="M26" s="32" t="s">
        <v>356</v>
      </c>
    </row>
    <row r="27" spans="1:17" ht="31.2">
      <c r="A27" s="3" cm="1">
        <f t="array" aca="1" ref="A27" ca="1">INDIRECT("A"&amp;ROW()-1)+1</f>
        <v>14</v>
      </c>
      <c r="B27" s="3">
        <f t="shared" ca="1" si="0"/>
        <v>14</v>
      </c>
      <c r="C27" s="3" t="str">
        <f ca="1">A25&amp;"==True"</f>
        <v>13==True</v>
      </c>
      <c r="D27" s="4" t="s">
        <v>49</v>
      </c>
      <c r="E27" s="5" t="s">
        <v>5</v>
      </c>
      <c r="F27" s="54" t="s">
        <v>132</v>
      </c>
      <c r="G27" s="5" t="s">
        <v>50</v>
      </c>
      <c r="H27" s="6" t="s">
        <v>165</v>
      </c>
      <c r="I27" s="5" t="s">
        <v>50</v>
      </c>
      <c r="J27" s="42">
        <f>J25</f>
        <v>2</v>
      </c>
      <c r="K27" s="42" t="s">
        <v>431</v>
      </c>
      <c r="M27" s="51" t="s">
        <v>478</v>
      </c>
      <c r="Q27" s="12" t="s">
        <v>163</v>
      </c>
    </row>
    <row r="28" spans="1:17">
      <c r="A28" s="3" cm="1">
        <f t="array" aca="1" ref="A28" ca="1">INDIRECT("A"&amp;ROW()-1)</f>
        <v>14</v>
      </c>
      <c r="B28" s="3" t="str">
        <f t="shared" ca="1" si="0"/>
        <v/>
      </c>
      <c r="F28" s="55" t="str">
        <f t="shared" si="2"/>
        <v>TRUE</v>
      </c>
      <c r="G28" s="5" t="s">
        <v>52</v>
      </c>
      <c r="H28" s="6" t="s">
        <v>167</v>
      </c>
      <c r="I28" s="5" t="s">
        <v>52</v>
      </c>
      <c r="J28" s="31"/>
      <c r="K28" s="31"/>
      <c r="M28" s="51" t="s">
        <v>479</v>
      </c>
    </row>
    <row r="29" spans="1:17">
      <c r="A29" s="3" cm="1">
        <f t="array" aca="1" ref="A29" ca="1">INDIRECT("A"&amp;ROW()-1)</f>
        <v>14</v>
      </c>
      <c r="B29" s="3" t="str">
        <f t="shared" ca="1" si="0"/>
        <v/>
      </c>
      <c r="F29" s="55" t="str">
        <f t="shared" si="2"/>
        <v>TRUE</v>
      </c>
      <c r="G29" s="5" t="s">
        <v>51</v>
      </c>
      <c r="H29" s="6" t="s">
        <v>166</v>
      </c>
      <c r="I29" s="5" t="s">
        <v>51</v>
      </c>
      <c r="J29" s="31"/>
      <c r="K29" s="31"/>
      <c r="M29" s="51" t="s">
        <v>480</v>
      </c>
    </row>
    <row r="30" spans="1:17">
      <c r="A30" s="3" cm="1">
        <f t="array" aca="1" ref="A30" ca="1">INDIRECT("A"&amp;ROW()-1)</f>
        <v>14</v>
      </c>
      <c r="B30" s="3" t="str">
        <f t="shared" ca="1" si="0"/>
        <v/>
      </c>
      <c r="F30" s="55" t="str">
        <f t="shared" si="2"/>
        <v>TRUE</v>
      </c>
      <c r="G30" s="14" t="s">
        <v>168</v>
      </c>
      <c r="H30" s="6" t="s">
        <v>170</v>
      </c>
      <c r="I30" s="14" t="s">
        <v>168</v>
      </c>
      <c r="J30" s="31"/>
      <c r="K30" s="31"/>
      <c r="M30" s="51" t="s">
        <v>481</v>
      </c>
    </row>
    <row r="31" spans="1:17" ht="31.2">
      <c r="A31" s="3" cm="1">
        <f t="array" aca="1" ref="A31" ca="1">INDIRECT("A"&amp;ROW()-1)</f>
        <v>14</v>
      </c>
      <c r="B31" s="3" t="str">
        <f t="shared" ca="1" si="0"/>
        <v/>
      </c>
      <c r="F31" s="55" t="str">
        <f t="shared" si="2"/>
        <v>TRUE</v>
      </c>
      <c r="G31" s="51" t="s">
        <v>169</v>
      </c>
      <c r="H31" s="6" t="s">
        <v>171</v>
      </c>
      <c r="I31" s="51" t="s">
        <v>169</v>
      </c>
      <c r="J31" s="31"/>
      <c r="K31" s="31"/>
      <c r="M31" s="51" t="s">
        <v>482</v>
      </c>
    </row>
    <row r="32" spans="1:17" ht="31.2">
      <c r="A32" s="3" cm="1">
        <f t="array" aca="1" ref="A32" ca="1">INDIRECT("A"&amp;ROW()-1)</f>
        <v>14</v>
      </c>
      <c r="B32" s="3" t="str">
        <f t="shared" ca="1" si="0"/>
        <v/>
      </c>
      <c r="F32" s="55" t="str">
        <f t="shared" si="2"/>
        <v>TRUE</v>
      </c>
      <c r="G32" s="51" t="s">
        <v>475</v>
      </c>
      <c r="H32" s="52" t="s">
        <v>476</v>
      </c>
      <c r="I32" s="51" t="s">
        <v>475</v>
      </c>
      <c r="J32" s="31"/>
      <c r="K32" s="31"/>
      <c r="M32" s="51" t="s">
        <v>483</v>
      </c>
    </row>
    <row r="33" spans="1:18" ht="31.2">
      <c r="A33" s="3" cm="1">
        <f t="array" aca="1" ref="A33" ca="1">INDIRECT("A"&amp;ROW()-1)+1</f>
        <v>15</v>
      </c>
      <c r="B33" s="3">
        <f t="shared" ca="1" si="0"/>
        <v>15</v>
      </c>
      <c r="C33" s="3" t="str">
        <f ca="1">A25&amp;"==True"</f>
        <v>13==True</v>
      </c>
      <c r="D33" s="4" t="s">
        <v>48</v>
      </c>
      <c r="E33" s="5" t="s">
        <v>5</v>
      </c>
      <c r="F33" s="56" t="s">
        <v>141</v>
      </c>
      <c r="G33" s="5" t="s">
        <v>1</v>
      </c>
      <c r="H33" s="7" t="b">
        <v>1</v>
      </c>
      <c r="I33" s="52" t="s">
        <v>485</v>
      </c>
      <c r="J33" s="42">
        <f>J25</f>
        <v>2</v>
      </c>
      <c r="K33" s="42" t="s">
        <v>431</v>
      </c>
      <c r="L33" s="35" t="s">
        <v>321</v>
      </c>
      <c r="M33" s="51" t="s">
        <v>484</v>
      </c>
      <c r="Q33" s="36" t="s">
        <v>164</v>
      </c>
    </row>
    <row r="34" spans="1:18">
      <c r="A34" s="3" cm="1">
        <f t="array" aca="1" ref="A34" ca="1">INDIRECT("A"&amp;ROW()-1)</f>
        <v>15</v>
      </c>
      <c r="B34" s="3" t="str">
        <f t="shared" ca="1" si="0"/>
        <v/>
      </c>
      <c r="F34" s="55" t="str">
        <f t="shared" si="2"/>
        <v>FALSE</v>
      </c>
      <c r="G34" s="5" t="s">
        <v>2</v>
      </c>
      <c r="H34" s="7" t="b">
        <v>0</v>
      </c>
      <c r="I34" s="52" t="s">
        <v>487</v>
      </c>
      <c r="J34" s="43"/>
      <c r="K34" s="43"/>
      <c r="M34" s="51" t="s">
        <v>486</v>
      </c>
    </row>
    <row r="35" spans="1:18" ht="56.4" customHeight="1">
      <c r="A35" s="3" cm="1">
        <f t="array" aca="1" ref="A35" ca="1">INDIRECT("A"&amp;ROW()-1)+1</f>
        <v>16</v>
      </c>
      <c r="B35" s="3">
        <f t="shared" ca="1" si="0"/>
        <v>16</v>
      </c>
      <c r="C35" s="17" t="str">
        <f ca="1">A33&amp;"==True or "&amp;A27&amp;"any['CDC','CD','DCD','CDCD','DCDCD']"</f>
        <v>15==True or 14any['CDC','CD','DCD','CDCD','DCDCD']</v>
      </c>
      <c r="D35" s="4" t="s">
        <v>317</v>
      </c>
      <c r="E35" s="35" t="s">
        <v>155</v>
      </c>
      <c r="F35" s="54" t="s">
        <v>132</v>
      </c>
      <c r="H35" s="15" t="s">
        <v>136</v>
      </c>
      <c r="I35" s="15"/>
      <c r="J35" s="42">
        <f>J25</f>
        <v>2</v>
      </c>
      <c r="K35" s="42" t="s">
        <v>431</v>
      </c>
      <c r="M35" s="50" t="s">
        <v>446</v>
      </c>
      <c r="N35" s="16"/>
      <c r="O35" s="8"/>
      <c r="P35" s="18"/>
      <c r="Q35" s="79" t="s">
        <v>931</v>
      </c>
      <c r="R35" s="78" t="s">
        <v>956</v>
      </c>
    </row>
    <row r="36" spans="1:18" ht="46.8" customHeight="1">
      <c r="A36" s="3" cm="1">
        <f t="array" aca="1" ref="A36" ca="1">INDIRECT("A"&amp;ROW()-1)+1</f>
        <v>17</v>
      </c>
      <c r="B36" s="3">
        <f t="shared" ca="1" si="0"/>
        <v>17</v>
      </c>
      <c r="C36" s="17" t="str">
        <f ca="1">A33&amp;"==True or "&amp;A27&amp;"any['DC','CDC','DCD','CDCD','DCDCD']"</f>
        <v>15==True or 14any['DC','CDC','DCD','CDCD','DCDCD']</v>
      </c>
      <c r="D36" s="4" t="s">
        <v>318</v>
      </c>
      <c r="E36" s="35" t="s">
        <v>155</v>
      </c>
      <c r="F36" s="54" t="s">
        <v>132</v>
      </c>
      <c r="H36" s="15" t="s">
        <v>136</v>
      </c>
      <c r="I36" s="15"/>
      <c r="J36" s="42">
        <f>J35</f>
        <v>2</v>
      </c>
      <c r="K36" s="42" t="s">
        <v>431</v>
      </c>
      <c r="M36" s="50" t="s">
        <v>447</v>
      </c>
      <c r="N36" s="16"/>
      <c r="O36" s="8"/>
      <c r="P36" s="18"/>
      <c r="Q36" s="79" t="s">
        <v>933</v>
      </c>
      <c r="R36" s="78" t="s">
        <v>956</v>
      </c>
    </row>
    <row r="37" spans="1:18" ht="31.2">
      <c r="A37" s="3" cm="1">
        <f t="array" aca="1" ref="A37" ca="1">INDIRECT("A"&amp;ROW()-1)+1</f>
        <v>18</v>
      </c>
      <c r="B37" s="3">
        <f t="shared" ca="1" si="0"/>
        <v>18</v>
      </c>
      <c r="C37" s="17" t="str">
        <f ca="1">A25&amp;"==True"</f>
        <v>13==True</v>
      </c>
      <c r="D37" s="4" t="s">
        <v>319</v>
      </c>
      <c r="E37" s="35" t="s">
        <v>155</v>
      </c>
      <c r="F37" s="54" t="s">
        <v>132</v>
      </c>
      <c r="H37" s="15" t="s">
        <v>136</v>
      </c>
      <c r="I37" s="15"/>
      <c r="J37" s="42">
        <f>J35</f>
        <v>2</v>
      </c>
      <c r="K37" s="42" t="s">
        <v>431</v>
      </c>
      <c r="L37" s="58" t="s">
        <v>599</v>
      </c>
      <c r="M37" s="58" t="s">
        <v>600</v>
      </c>
      <c r="N37" s="16"/>
      <c r="O37" s="8"/>
      <c r="P37" s="18"/>
      <c r="Q37" s="79" t="s">
        <v>934</v>
      </c>
      <c r="R37" s="78" t="s">
        <v>935</v>
      </c>
    </row>
    <row r="38" spans="1:18" ht="46.8" customHeight="1">
      <c r="A38" s="3" cm="1">
        <f t="array" aca="1" ref="A38" ca="1">INDIRECT("A"&amp;ROW()-1)+1</f>
        <v>19</v>
      </c>
      <c r="B38" s="3">
        <f t="shared" ca="1" si="0"/>
        <v>19</v>
      </c>
      <c r="C38" s="17" t="str">
        <f ca="1">A25&amp;"==True"</f>
        <v>13==True</v>
      </c>
      <c r="D38" s="4" t="s">
        <v>647</v>
      </c>
      <c r="E38" s="35" t="s">
        <v>154</v>
      </c>
      <c r="F38" s="54" t="s">
        <v>132</v>
      </c>
      <c r="H38" s="15" t="s">
        <v>136</v>
      </c>
      <c r="I38" s="15"/>
      <c r="J38" s="42">
        <f>J35</f>
        <v>2</v>
      </c>
      <c r="K38" s="42" t="s">
        <v>431</v>
      </c>
      <c r="M38" s="50" t="s">
        <v>448</v>
      </c>
      <c r="N38" s="16"/>
      <c r="O38" s="8"/>
      <c r="P38" s="18"/>
      <c r="Q38" s="79" t="s">
        <v>936</v>
      </c>
      <c r="R38" s="78" t="s">
        <v>956</v>
      </c>
    </row>
    <row r="39" spans="1:18" ht="31.2">
      <c r="A39" s="3" cm="1">
        <f t="array" aca="1" ref="A39" ca="1">INDIRECT("A"&amp;ROW()-1)+1</f>
        <v>20</v>
      </c>
      <c r="B39" s="3">
        <f t="shared" ca="1" si="0"/>
        <v>20</v>
      </c>
      <c r="C39" s="2" t="str">
        <f ca="1">A27&amp;"any['CD','DCD','CDCD','DCDCD']"</f>
        <v>14any['CD','DCD','CDCD','DCDCD']</v>
      </c>
      <c r="D39" s="4" t="s">
        <v>322</v>
      </c>
      <c r="E39" s="5" t="s">
        <v>5</v>
      </c>
      <c r="F39" s="56" t="s">
        <v>141</v>
      </c>
      <c r="G39" s="5" t="s">
        <v>1</v>
      </c>
      <c r="H39" s="7" t="b">
        <v>1</v>
      </c>
      <c r="I39" s="52" t="s">
        <v>489</v>
      </c>
      <c r="J39" s="42">
        <v>3</v>
      </c>
      <c r="K39" s="42" t="s">
        <v>431</v>
      </c>
      <c r="L39" s="51" t="s">
        <v>576</v>
      </c>
      <c r="M39" s="51" t="s">
        <v>488</v>
      </c>
      <c r="Q39" s="79" t="s">
        <v>937</v>
      </c>
    </row>
    <row r="40" spans="1:18" ht="24" customHeight="1">
      <c r="A40" s="3" cm="1">
        <f t="array" aca="1" ref="A40" ca="1">INDIRECT("A"&amp;ROW()-1)</f>
        <v>20</v>
      </c>
      <c r="B40" s="3" t="str">
        <f t="shared" ca="1" si="0"/>
        <v/>
      </c>
      <c r="F40" s="55" t="str">
        <f t="shared" si="2"/>
        <v>FALSE</v>
      </c>
      <c r="G40" s="5" t="s">
        <v>2</v>
      </c>
      <c r="H40" s="7" t="b">
        <v>0</v>
      </c>
      <c r="I40" s="52" t="s">
        <v>491</v>
      </c>
      <c r="J40" s="43"/>
      <c r="K40" s="43"/>
      <c r="M40" s="51" t="s">
        <v>490</v>
      </c>
    </row>
    <row r="41" spans="1:18">
      <c r="A41" s="3" cm="1">
        <f t="array" aca="1" ref="A41" ca="1">INDIRECT("A"&amp;ROW()-1)+1</f>
        <v>21</v>
      </c>
      <c r="B41" s="3">
        <f t="shared" ca="1" si="0"/>
        <v>21</v>
      </c>
      <c r="C41" s="3" t="str">
        <f ca="1">A39&amp;"==True"</f>
        <v>20==True</v>
      </c>
      <c r="D41" s="4" t="s">
        <v>789</v>
      </c>
      <c r="E41" s="5" t="s">
        <v>5</v>
      </c>
      <c r="F41" s="56" t="s">
        <v>141</v>
      </c>
      <c r="G41" s="5" t="s">
        <v>1</v>
      </c>
      <c r="H41" s="7" t="b">
        <v>1</v>
      </c>
      <c r="I41" s="52" t="s">
        <v>316</v>
      </c>
      <c r="J41" s="43">
        <f>J39</f>
        <v>3</v>
      </c>
      <c r="K41" s="71" t="s">
        <v>424</v>
      </c>
      <c r="L41" s="51"/>
      <c r="M41" s="68"/>
      <c r="Q41" s="69" t="s">
        <v>793</v>
      </c>
    </row>
    <row r="42" spans="1:18">
      <c r="A42" s="3" cm="1">
        <f t="array" aca="1" ref="A42" ca="1">INDIRECT("A"&amp;ROW()-1)</f>
        <v>21</v>
      </c>
      <c r="B42" s="3" t="str">
        <f t="shared" ca="1" si="0"/>
        <v/>
      </c>
      <c r="F42" s="55" t="str">
        <f t="shared" ref="F42" si="3">F41</f>
        <v>FALSE</v>
      </c>
      <c r="G42" s="5" t="s">
        <v>2</v>
      </c>
      <c r="H42" s="7" t="b">
        <v>0</v>
      </c>
      <c r="I42" s="52" t="s">
        <v>518</v>
      </c>
      <c r="J42" s="43"/>
      <c r="K42" s="43"/>
      <c r="M42" s="68" t="s">
        <v>791</v>
      </c>
    </row>
    <row r="43" spans="1:18">
      <c r="A43" s="3" cm="1">
        <f t="array" aca="1" ref="A43" ca="1">INDIRECT("A"&amp;ROW()-1)+1</f>
        <v>22</v>
      </c>
      <c r="B43" s="3">
        <f t="shared" ca="1" si="0"/>
        <v>22</v>
      </c>
      <c r="C43" s="3" t="str">
        <f ca="1">A41&amp;"==True"</f>
        <v>21==True</v>
      </c>
      <c r="D43" s="4" t="s">
        <v>790</v>
      </c>
      <c r="E43" s="11" t="s">
        <v>154</v>
      </c>
      <c r="F43" s="28" t="b">
        <v>0</v>
      </c>
      <c r="H43" s="15" t="s">
        <v>136</v>
      </c>
      <c r="I43" s="15"/>
      <c r="J43" s="44">
        <f>J41</f>
        <v>3</v>
      </c>
      <c r="K43" s="71" t="s">
        <v>424</v>
      </c>
      <c r="M43" s="70" t="s">
        <v>792</v>
      </c>
      <c r="N43" s="16"/>
      <c r="O43" s="8"/>
      <c r="P43" s="9"/>
      <c r="Q43" s="69" t="s">
        <v>794</v>
      </c>
    </row>
    <row r="44" spans="1:18" ht="31.2">
      <c r="A44" s="3" cm="1">
        <f t="array" aca="1" ref="A44" ca="1">INDIRECT("A"&amp;ROW()-1)+1</f>
        <v>23</v>
      </c>
      <c r="B44" s="3">
        <f t="shared" ca="1" si="0"/>
        <v>23</v>
      </c>
      <c r="C44" s="3" t="str">
        <f ca="1">A39&amp;"==True"</f>
        <v>20==True</v>
      </c>
      <c r="D44" s="4" t="s">
        <v>652</v>
      </c>
      <c r="E44" s="5" t="s">
        <v>5</v>
      </c>
      <c r="F44" s="56" t="s">
        <v>141</v>
      </c>
      <c r="G44" s="65" t="s">
        <v>648</v>
      </c>
      <c r="H44" s="65" t="s">
        <v>650</v>
      </c>
      <c r="I44" s="65" t="s">
        <v>650</v>
      </c>
      <c r="J44" s="42">
        <f>J39</f>
        <v>3</v>
      </c>
      <c r="K44" s="66" t="s">
        <v>428</v>
      </c>
      <c r="L44" s="58"/>
      <c r="M44" s="65" t="s">
        <v>651</v>
      </c>
      <c r="Q44" s="64" t="s">
        <v>656</v>
      </c>
    </row>
    <row r="45" spans="1:18">
      <c r="A45" s="3" cm="1">
        <f t="array" aca="1" ref="A45" ca="1">INDIRECT("A"&amp;ROW()-1)</f>
        <v>23</v>
      </c>
      <c r="B45" s="3" t="str">
        <f t="shared" ca="1" si="0"/>
        <v/>
      </c>
      <c r="F45" s="55" t="str">
        <f t="shared" ref="F45:F46" si="4">F44</f>
        <v>FALSE</v>
      </c>
      <c r="G45" s="65" t="s">
        <v>649</v>
      </c>
      <c r="H45" s="65" t="s">
        <v>649</v>
      </c>
      <c r="I45" s="65" t="s">
        <v>649</v>
      </c>
      <c r="J45" s="43"/>
      <c r="K45" s="43"/>
      <c r="L45" s="67" t="s">
        <v>657</v>
      </c>
      <c r="M45" s="65" t="s">
        <v>651</v>
      </c>
    </row>
    <row r="46" spans="1:18">
      <c r="A46" s="3" cm="1">
        <f t="array" aca="1" ref="A46" ca="1">INDIRECT("A"&amp;ROW()-1)</f>
        <v>23</v>
      </c>
      <c r="B46" s="3" t="str">
        <f t="shared" ca="1" si="0"/>
        <v/>
      </c>
      <c r="F46" s="55" t="str">
        <f t="shared" si="4"/>
        <v>FALSE</v>
      </c>
      <c r="G46" s="65" t="s">
        <v>653</v>
      </c>
      <c r="H46" s="65" t="s">
        <v>654</v>
      </c>
      <c r="I46" s="65" t="s">
        <v>654</v>
      </c>
      <c r="J46" s="43"/>
      <c r="K46" s="43"/>
      <c r="L46" s="67" t="s">
        <v>653</v>
      </c>
      <c r="M46" s="65" t="s">
        <v>655</v>
      </c>
    </row>
    <row r="47" spans="1:18">
      <c r="A47" s="3" cm="1">
        <f t="array" aca="1" ref="A47" ca="1">INDIRECT("A"&amp;ROW()-1)+1</f>
        <v>24</v>
      </c>
      <c r="B47" s="3">
        <f t="shared" ca="1" si="0"/>
        <v>24</v>
      </c>
      <c r="C47" s="3" t="str">
        <f ca="1">A45&amp;"==定制"</f>
        <v>23==定制</v>
      </c>
      <c r="D47" s="4" t="s">
        <v>658</v>
      </c>
      <c r="E47" s="11" t="s">
        <v>154</v>
      </c>
      <c r="F47" s="45" t="s">
        <v>132</v>
      </c>
      <c r="H47" s="15" t="s">
        <v>136</v>
      </c>
      <c r="I47" s="15"/>
      <c r="J47" s="44">
        <f>J44</f>
        <v>3</v>
      </c>
      <c r="K47" s="66" t="s">
        <v>428</v>
      </c>
      <c r="M47" s="67" t="s">
        <v>659</v>
      </c>
      <c r="N47" s="16"/>
      <c r="O47" s="8"/>
      <c r="P47" s="9"/>
      <c r="Q47" s="64" t="s">
        <v>660</v>
      </c>
    </row>
    <row r="48" spans="1:18" ht="31.2">
      <c r="A48" s="3" cm="1">
        <f t="array" aca="1" ref="A48" ca="1">INDIRECT("A"&amp;ROW()-1)+1</f>
        <v>25</v>
      </c>
      <c r="B48" s="3">
        <f t="shared" ca="1" si="0"/>
        <v>25</v>
      </c>
      <c r="C48" s="3" t="str">
        <f ca="1">A39&amp;"==True and "&amp;A41&amp;"==False"</f>
        <v>20==True and 21==False</v>
      </c>
      <c r="D48" s="4" t="s">
        <v>173</v>
      </c>
      <c r="E48" s="5" t="s">
        <v>5</v>
      </c>
      <c r="F48" s="56" t="s">
        <v>141</v>
      </c>
      <c r="G48" s="5" t="s">
        <v>1</v>
      </c>
      <c r="H48" s="7" t="b">
        <v>1</v>
      </c>
      <c r="I48" s="52" t="s">
        <v>316</v>
      </c>
      <c r="J48" s="43">
        <f>J39</f>
        <v>3</v>
      </c>
      <c r="K48" s="42" t="s">
        <v>428</v>
      </c>
      <c r="L48" s="51" t="s">
        <v>578</v>
      </c>
      <c r="M48" s="52" t="s">
        <v>494</v>
      </c>
      <c r="Q48" s="12" t="s">
        <v>175</v>
      </c>
    </row>
    <row r="49" spans="1:17">
      <c r="A49" s="3" cm="1">
        <f t="array" aca="1" ref="A49" ca="1">INDIRECT("A"&amp;ROW()-1)</f>
        <v>25</v>
      </c>
      <c r="B49" s="3" t="str">
        <f t="shared" ca="1" si="0"/>
        <v/>
      </c>
      <c r="F49" s="55" t="str">
        <f t="shared" ref="F49" si="5">F48</f>
        <v>FALSE</v>
      </c>
      <c r="G49" s="5" t="s">
        <v>2</v>
      </c>
      <c r="H49" s="7" t="b">
        <v>0</v>
      </c>
      <c r="I49" s="52" t="s">
        <v>518</v>
      </c>
      <c r="J49" s="43"/>
      <c r="K49" s="43"/>
      <c r="M49" s="52" t="s">
        <v>494</v>
      </c>
    </row>
    <row r="50" spans="1:17">
      <c r="A50" s="3" cm="1">
        <f t="array" aca="1" ref="A50" ca="1">INDIRECT("A"&amp;ROW()-1)+1</f>
        <v>26</v>
      </c>
      <c r="B50" s="3">
        <f t="shared" ca="1" si="0"/>
        <v>26</v>
      </c>
      <c r="C50" s="3" t="str">
        <f ca="1">A48&amp;"==True"</f>
        <v>25==True</v>
      </c>
      <c r="D50" s="4" t="s">
        <v>263</v>
      </c>
      <c r="E50" s="11" t="s">
        <v>154</v>
      </c>
      <c r="F50" s="46" t="s">
        <v>132</v>
      </c>
      <c r="H50" s="15" t="s">
        <v>136</v>
      </c>
      <c r="I50" s="15"/>
      <c r="J50" s="44">
        <f>J48</f>
        <v>3</v>
      </c>
      <c r="K50" s="42" t="s">
        <v>428</v>
      </c>
      <c r="M50" s="35" t="s">
        <v>358</v>
      </c>
      <c r="N50" s="16"/>
      <c r="O50" s="8"/>
      <c r="P50" s="9"/>
      <c r="Q50" s="12" t="s">
        <v>174</v>
      </c>
    </row>
    <row r="51" spans="1:17" ht="31.2">
      <c r="A51" s="3" cm="1">
        <f t="array" aca="1" ref="A51" ca="1">INDIRECT("A"&amp;ROW()-1)+1</f>
        <v>27</v>
      </c>
      <c r="B51" s="3">
        <f t="shared" ca="1" si="0"/>
        <v>27</v>
      </c>
      <c r="C51" s="3" t="str">
        <f ca="1">A39&amp;"==True and "&amp;A41&amp;"==False"</f>
        <v>20==True and 21==False</v>
      </c>
      <c r="D51" s="4" t="s">
        <v>123</v>
      </c>
      <c r="E51" s="5" t="s">
        <v>5</v>
      </c>
      <c r="F51" s="56" t="s">
        <v>132</v>
      </c>
      <c r="G51" s="5" t="s">
        <v>1</v>
      </c>
      <c r="H51" s="7" t="b">
        <v>1</v>
      </c>
      <c r="I51" s="52" t="s">
        <v>316</v>
      </c>
      <c r="J51" s="43">
        <f>J39</f>
        <v>3</v>
      </c>
      <c r="K51" s="42" t="s">
        <v>442</v>
      </c>
      <c r="L51" s="51" t="s">
        <v>577</v>
      </c>
      <c r="M51" s="52" t="s">
        <v>495</v>
      </c>
      <c r="Q51" s="12" t="s">
        <v>176</v>
      </c>
    </row>
    <row r="52" spans="1:17">
      <c r="A52" s="3" cm="1">
        <f t="array" aca="1" ref="A52" ca="1">INDIRECT("A"&amp;ROW()-1)</f>
        <v>27</v>
      </c>
      <c r="B52" s="3" t="str">
        <f t="shared" ca="1" si="0"/>
        <v/>
      </c>
      <c r="F52" s="55" t="str">
        <f t="shared" ref="F52" si="6">F51</f>
        <v>TRUE</v>
      </c>
      <c r="G52" s="5" t="s">
        <v>2</v>
      </c>
      <c r="H52" s="7" t="b">
        <v>0</v>
      </c>
      <c r="I52" s="52" t="s">
        <v>517</v>
      </c>
      <c r="J52" s="43"/>
      <c r="K52" s="43"/>
      <c r="M52" s="52" t="s">
        <v>495</v>
      </c>
    </row>
    <row r="53" spans="1:17">
      <c r="A53" s="3" cm="1">
        <f t="array" aca="1" ref="A53" ca="1">INDIRECT("A"&amp;ROW()-1)+1</f>
        <v>28</v>
      </c>
      <c r="B53" s="3">
        <f t="shared" ca="1" si="0"/>
        <v>28</v>
      </c>
      <c r="C53" s="3" t="str">
        <f ca="1">A51&amp;"==True"</f>
        <v>27==True</v>
      </c>
      <c r="D53" s="4" t="s">
        <v>264</v>
      </c>
      <c r="E53" s="11" t="s">
        <v>154</v>
      </c>
      <c r="F53" s="45" t="s">
        <v>132</v>
      </c>
      <c r="H53" s="15" t="s">
        <v>136</v>
      </c>
      <c r="I53" s="15"/>
      <c r="J53" s="44">
        <f>J51</f>
        <v>3</v>
      </c>
      <c r="K53" s="42" t="s">
        <v>442</v>
      </c>
      <c r="M53" s="35" t="s">
        <v>359</v>
      </c>
      <c r="N53" s="16"/>
      <c r="O53" s="8"/>
      <c r="P53" s="9"/>
      <c r="Q53" s="19" t="s">
        <v>177</v>
      </c>
    </row>
    <row r="54" spans="1:17">
      <c r="A54" s="3" cm="1">
        <f t="array" aca="1" ref="A54" ca="1">INDIRECT("A"&amp;ROW()-1)+1</f>
        <v>29</v>
      </c>
      <c r="B54" s="3">
        <f t="shared" ca="1" si="0"/>
        <v>29</v>
      </c>
      <c r="C54" s="3" t="str">
        <f ca="1">A39&amp;"==True and "&amp;A41&amp;"==False"</f>
        <v>20==True and 21==False</v>
      </c>
      <c r="D54" s="4" t="s">
        <v>693</v>
      </c>
      <c r="E54" s="5" t="s">
        <v>5</v>
      </c>
      <c r="F54" s="56" t="s">
        <v>141</v>
      </c>
      <c r="G54" s="5" t="s">
        <v>1</v>
      </c>
      <c r="H54" s="7" t="b">
        <v>1</v>
      </c>
      <c r="I54" s="37" t="s">
        <v>316</v>
      </c>
      <c r="J54" s="48">
        <f>J39</f>
        <v>3</v>
      </c>
      <c r="K54" s="71" t="s">
        <v>430</v>
      </c>
      <c r="L54" s="51"/>
      <c r="Q54" s="69" t="s">
        <v>697</v>
      </c>
    </row>
    <row r="55" spans="1:17">
      <c r="A55" s="3" cm="1">
        <f t="array" aca="1" ref="A55" ca="1">INDIRECT("A"&amp;ROW()-1)</f>
        <v>29</v>
      </c>
      <c r="B55" s="3" t="str">
        <f t="shared" ca="1" si="0"/>
        <v/>
      </c>
      <c r="F55" s="55" t="str">
        <f>F54</f>
        <v>FALSE</v>
      </c>
      <c r="G55" s="5" t="s">
        <v>2</v>
      </c>
      <c r="H55" s="7" t="b">
        <v>0</v>
      </c>
      <c r="I55" s="52" t="s">
        <v>520</v>
      </c>
      <c r="J55" s="48"/>
      <c r="K55" s="48"/>
      <c r="M55" s="70" t="s">
        <v>695</v>
      </c>
    </row>
    <row r="56" spans="1:17">
      <c r="A56" s="3" cm="1">
        <f t="array" aca="1" ref="A56" ca="1">INDIRECT("A"&amp;ROW()-1)+1</f>
        <v>30</v>
      </c>
      <c r="B56" s="3">
        <f t="shared" ca="1" si="0"/>
        <v>30</v>
      </c>
      <c r="C56" s="3" t="str">
        <f ca="1">A54&amp;"==True"</f>
        <v>29==True</v>
      </c>
      <c r="D56" s="4" t="s">
        <v>694</v>
      </c>
      <c r="E56" s="11" t="s">
        <v>154</v>
      </c>
      <c r="F56" s="46" t="s">
        <v>132</v>
      </c>
      <c r="H56" s="15" t="s">
        <v>136</v>
      </c>
      <c r="I56" s="15"/>
      <c r="J56" s="44">
        <f>J54</f>
        <v>3</v>
      </c>
      <c r="K56" s="42" t="s">
        <v>430</v>
      </c>
      <c r="M56" s="70" t="s">
        <v>696</v>
      </c>
      <c r="N56" s="16"/>
      <c r="O56" s="8"/>
      <c r="P56" s="18"/>
      <c r="Q56" s="19" t="s">
        <v>217</v>
      </c>
    </row>
    <row r="57" spans="1:17" ht="31.2">
      <c r="A57" s="3" cm="1">
        <f t="array" aca="1" ref="A57" ca="1">INDIRECT("A"&amp;ROW()-1)+1</f>
        <v>31</v>
      </c>
      <c r="B57" s="3">
        <f t="shared" ca="1" si="0"/>
        <v>31</v>
      </c>
      <c r="C57" s="3" t="str">
        <f ca="1">A39&amp;"==True and "&amp;A44&amp;"!=不配"</f>
        <v>20==True and 23!=不配</v>
      </c>
      <c r="D57" s="4" t="s">
        <v>496</v>
      </c>
      <c r="E57" s="5" t="s">
        <v>5</v>
      </c>
      <c r="F57" s="56" t="s">
        <v>141</v>
      </c>
      <c r="G57" s="5" t="s">
        <v>1</v>
      </c>
      <c r="H57" s="7" t="b">
        <v>1</v>
      </c>
      <c r="I57" s="52" t="s">
        <v>316</v>
      </c>
      <c r="J57" s="43">
        <f>J44</f>
        <v>3</v>
      </c>
      <c r="K57" s="42" t="s">
        <v>428</v>
      </c>
      <c r="M57" s="51" t="s">
        <v>498</v>
      </c>
      <c r="Q57" s="36" t="s">
        <v>327</v>
      </c>
    </row>
    <row r="58" spans="1:17" ht="31.2">
      <c r="A58" s="3" cm="1">
        <f t="array" aca="1" ref="A58" ca="1">INDIRECT("A"&amp;ROW()-1)</f>
        <v>31</v>
      </c>
      <c r="B58" s="3" t="str">
        <f t="shared" ca="1" si="0"/>
        <v/>
      </c>
      <c r="F58" s="55" t="str">
        <f t="shared" ref="F58" si="7">F57</f>
        <v>FALSE</v>
      </c>
      <c r="G58" s="5" t="s">
        <v>2</v>
      </c>
      <c r="H58" s="7" t="b">
        <v>0</v>
      </c>
      <c r="I58" s="52" t="s">
        <v>497</v>
      </c>
      <c r="J58" s="43"/>
      <c r="K58" s="43"/>
      <c r="L58" s="35" t="s">
        <v>328</v>
      </c>
      <c r="M58" s="51" t="s">
        <v>498</v>
      </c>
    </row>
    <row r="59" spans="1:17" ht="31.2">
      <c r="A59" s="3" cm="1">
        <f t="array" aca="1" ref="A59" ca="1">INDIRECT("A"&amp;ROW()-1)+1</f>
        <v>32</v>
      </c>
      <c r="B59" s="3">
        <f t="shared" ca="1" si="0"/>
        <v>32</v>
      </c>
      <c r="C59" s="3" t="str">
        <f ca="1">A39&amp;"==True"</f>
        <v>20==True</v>
      </c>
      <c r="D59" s="4" t="s">
        <v>61</v>
      </c>
      <c r="E59" s="5" t="s">
        <v>5</v>
      </c>
      <c r="F59" s="56" t="s">
        <v>132</v>
      </c>
      <c r="G59" s="35" t="s">
        <v>331</v>
      </c>
      <c r="H59" s="7" t="s">
        <v>62</v>
      </c>
      <c r="I59" s="34" t="s">
        <v>336</v>
      </c>
      <c r="J59" s="43">
        <f>J39</f>
        <v>3</v>
      </c>
      <c r="K59" s="42" t="s">
        <v>428</v>
      </c>
      <c r="L59" s="59" t="s">
        <v>602</v>
      </c>
      <c r="M59" s="35" t="s">
        <v>360</v>
      </c>
      <c r="Q59" s="19" t="s">
        <v>181</v>
      </c>
    </row>
    <row r="60" spans="1:17" ht="31.2">
      <c r="A60" s="3" cm="1">
        <f t="array" aca="1" ref="A60" ca="1">INDIRECT("A"&amp;ROW()-1)</f>
        <v>32</v>
      </c>
      <c r="B60" s="3" t="str">
        <f t="shared" ca="1" si="0"/>
        <v/>
      </c>
      <c r="F60" s="55" t="str">
        <f t="shared" ref="F60:F61" si="8">F59</f>
        <v>TRUE</v>
      </c>
      <c r="G60" s="35" t="s">
        <v>330</v>
      </c>
      <c r="H60" s="7" t="s">
        <v>64</v>
      </c>
      <c r="I60" s="34" t="s">
        <v>337</v>
      </c>
      <c r="J60" s="43"/>
      <c r="K60" s="43"/>
      <c r="L60" s="59" t="s">
        <v>603</v>
      </c>
      <c r="M60" s="35" t="s">
        <v>360</v>
      </c>
    </row>
    <row r="61" spans="1:17" ht="31.2">
      <c r="A61" s="3" cm="1">
        <f t="array" aca="1" ref="A61" ca="1">INDIRECT("A"&amp;ROW()-1)</f>
        <v>32</v>
      </c>
      <c r="B61" s="3" t="str">
        <f t="shared" ca="1" si="0"/>
        <v/>
      </c>
      <c r="F61" s="55" t="str">
        <f t="shared" si="8"/>
        <v>TRUE</v>
      </c>
      <c r="G61" s="35" t="s">
        <v>332</v>
      </c>
      <c r="H61" s="7" t="s">
        <v>63</v>
      </c>
      <c r="I61" s="34" t="s">
        <v>338</v>
      </c>
      <c r="J61" s="43"/>
      <c r="K61" s="43"/>
      <c r="L61" s="59" t="s">
        <v>604</v>
      </c>
      <c r="M61" s="35" t="s">
        <v>360</v>
      </c>
    </row>
    <row r="62" spans="1:17" ht="31.2">
      <c r="A62" s="3" cm="1">
        <f t="array" aca="1" ref="A62" ca="1">INDIRECT("A"&amp;ROW()-1)+1</f>
        <v>33</v>
      </c>
      <c r="B62" s="3">
        <f t="shared" ca="1" si="0"/>
        <v>33</v>
      </c>
      <c r="C62" s="3" t="str">
        <f ca="1">A39&amp;"==True and "&amp;A41&amp;"==False"</f>
        <v>20==True and 21==False</v>
      </c>
      <c r="D62" s="4" t="s">
        <v>333</v>
      </c>
      <c r="E62" s="5" t="s">
        <v>5</v>
      </c>
      <c r="F62" s="56" t="s">
        <v>141</v>
      </c>
      <c r="G62" s="35" t="s">
        <v>137</v>
      </c>
      <c r="H62" s="40" t="s">
        <v>420</v>
      </c>
      <c r="I62" s="34" t="s">
        <v>334</v>
      </c>
      <c r="J62" s="43">
        <f>J39</f>
        <v>3</v>
      </c>
      <c r="K62" s="42" t="s">
        <v>424</v>
      </c>
      <c r="L62" s="34" t="s">
        <v>334</v>
      </c>
      <c r="M62" s="35" t="s">
        <v>361</v>
      </c>
      <c r="Q62" s="19" t="s">
        <v>183</v>
      </c>
    </row>
    <row r="63" spans="1:17" ht="31.2">
      <c r="A63" s="3" cm="1">
        <f t="array" aca="1" ref="A63" ca="1">INDIRECT("A"&amp;ROW()-1)</f>
        <v>33</v>
      </c>
      <c r="B63" s="3" t="str">
        <f t="shared" ca="1" si="0"/>
        <v/>
      </c>
      <c r="F63" s="55" t="str">
        <f>F62</f>
        <v>FALSE</v>
      </c>
      <c r="G63" s="23" t="s">
        <v>138</v>
      </c>
      <c r="H63" s="40" t="s">
        <v>419</v>
      </c>
      <c r="I63" s="34" t="s">
        <v>335</v>
      </c>
      <c r="J63" s="43"/>
      <c r="K63" s="43"/>
      <c r="L63" s="34" t="s">
        <v>138</v>
      </c>
      <c r="M63" s="35" t="s">
        <v>361</v>
      </c>
    </row>
    <row r="64" spans="1:17">
      <c r="A64" s="3" cm="1">
        <f t="array" aca="1" ref="A64" ca="1">INDIRECT("A"&amp;ROW()-1)</f>
        <v>33</v>
      </c>
      <c r="B64" s="3" t="str">
        <f t="shared" ca="1" si="0"/>
        <v/>
      </c>
      <c r="F64" s="55" t="str">
        <f>F63</f>
        <v>FALSE</v>
      </c>
      <c r="G64" s="21" t="s">
        <v>182</v>
      </c>
      <c r="H64" s="40" t="s">
        <v>421</v>
      </c>
      <c r="I64" s="34" t="s">
        <v>339</v>
      </c>
      <c r="J64" s="43"/>
      <c r="K64" s="43"/>
      <c r="L64" s="34" t="s">
        <v>182</v>
      </c>
      <c r="M64" s="35" t="s">
        <v>361</v>
      </c>
    </row>
    <row r="65" spans="1:17" ht="31.2">
      <c r="A65" s="3" cm="1">
        <f t="array" aca="1" ref="A65" ca="1">INDIRECT("A"&amp;ROW()-1)+1</f>
        <v>34</v>
      </c>
      <c r="B65" s="3">
        <f t="shared" ca="1" si="0"/>
        <v>34</v>
      </c>
      <c r="C65" s="2" t="str">
        <f ca="1">A12&amp;"any['硬件'] and "&amp;A62&amp;"any['悬臂','接近开关']"</f>
        <v>7any['硬件'] and 33any['悬臂','接近开关']</v>
      </c>
      <c r="D65" s="4" t="s">
        <v>341</v>
      </c>
      <c r="E65" s="5" t="s">
        <v>5</v>
      </c>
      <c r="F65" s="56" t="s">
        <v>141</v>
      </c>
      <c r="G65" s="21" t="s">
        <v>184</v>
      </c>
      <c r="H65" s="7" t="b">
        <v>1</v>
      </c>
      <c r="I65" s="52" t="s">
        <v>512</v>
      </c>
      <c r="J65" s="43">
        <f>J62</f>
        <v>3</v>
      </c>
      <c r="K65" s="42" t="s">
        <v>424</v>
      </c>
      <c r="L65" s="58" t="s">
        <v>605</v>
      </c>
      <c r="M65" s="51" t="s">
        <v>477</v>
      </c>
      <c r="Q65" s="36" t="s">
        <v>340</v>
      </c>
    </row>
    <row r="66" spans="1:17" ht="46.8">
      <c r="A66" s="3" cm="1">
        <f t="array" aca="1" ref="A66" ca="1">INDIRECT("A"&amp;ROW()-1)</f>
        <v>34</v>
      </c>
      <c r="B66" s="3" t="str">
        <f t="shared" ca="1" si="0"/>
        <v/>
      </c>
      <c r="F66" s="55" t="str">
        <f>F65</f>
        <v>FALSE</v>
      </c>
      <c r="G66" s="51" t="s">
        <v>504</v>
      </c>
      <c r="H66" s="7" t="b">
        <v>0</v>
      </c>
      <c r="I66" s="52" t="s">
        <v>503</v>
      </c>
      <c r="J66" s="43"/>
      <c r="K66" s="43"/>
      <c r="L66" s="21" t="s">
        <v>185</v>
      </c>
      <c r="M66" s="51" t="s">
        <v>477</v>
      </c>
    </row>
    <row r="67" spans="1:17">
      <c r="A67" s="3" cm="1">
        <f t="array" aca="1" ref="A67" ca="1">INDIRECT("A"&amp;ROW()-1)+1</f>
        <v>35</v>
      </c>
      <c r="B67" s="3">
        <f t="shared" ref="B67:B130" ca="1" si="9">IF(A67=A66,"",A67)</f>
        <v>35</v>
      </c>
      <c r="C67" s="17" t="str">
        <f ca="1">A65&amp;"==True"</f>
        <v>34==True</v>
      </c>
      <c r="D67" s="4" t="s">
        <v>342</v>
      </c>
      <c r="E67" s="11" t="s">
        <v>154</v>
      </c>
      <c r="F67" s="46" t="s">
        <v>132</v>
      </c>
      <c r="H67" s="15" t="s">
        <v>136</v>
      </c>
      <c r="I67" s="15"/>
      <c r="J67" s="44">
        <f>J65</f>
        <v>3</v>
      </c>
      <c r="K67" s="42" t="s">
        <v>424</v>
      </c>
      <c r="M67" s="35" t="s">
        <v>362</v>
      </c>
      <c r="N67" s="16"/>
      <c r="O67" s="8"/>
      <c r="P67" s="18"/>
      <c r="Q67" s="36" t="s">
        <v>343</v>
      </c>
    </row>
    <row r="68" spans="1:17" ht="31.2">
      <c r="A68" s="3" cm="1">
        <f t="array" aca="1" ref="A68" ca="1">INDIRECT("A"&amp;ROW()-1)+1</f>
        <v>36</v>
      </c>
      <c r="B68" s="3">
        <f t="shared" ca="1" si="9"/>
        <v>36</v>
      </c>
      <c r="C68" s="3" t="str">
        <f ca="1">A25&amp;"==True"</f>
        <v>13==True</v>
      </c>
      <c r="D68" s="4" t="s">
        <v>323</v>
      </c>
      <c r="E68" s="5" t="s">
        <v>5</v>
      </c>
      <c r="F68" s="56" t="s">
        <v>141</v>
      </c>
      <c r="G68" s="5" t="s">
        <v>1</v>
      </c>
      <c r="H68" s="7" t="b">
        <v>1</v>
      </c>
      <c r="I68" s="52" t="s">
        <v>493</v>
      </c>
      <c r="J68" s="42">
        <f>J39</f>
        <v>3</v>
      </c>
      <c r="K68" s="42" t="s">
        <v>431</v>
      </c>
      <c r="L68" s="58" t="s">
        <v>601</v>
      </c>
      <c r="M68" s="52" t="s">
        <v>492</v>
      </c>
      <c r="Q68" s="36" t="s">
        <v>324</v>
      </c>
    </row>
    <row r="69" spans="1:17">
      <c r="A69" s="3" cm="1">
        <f t="array" aca="1" ref="A69" ca="1">INDIRECT("A"&amp;ROW()-1)</f>
        <v>36</v>
      </c>
      <c r="B69" s="3" t="str">
        <f t="shared" ca="1" si="9"/>
        <v/>
      </c>
      <c r="F69" s="55" t="str">
        <f t="shared" ref="F69" si="10">F68</f>
        <v>FALSE</v>
      </c>
      <c r="G69" s="5" t="s">
        <v>2</v>
      </c>
      <c r="H69" s="7" t="b">
        <v>0</v>
      </c>
      <c r="I69" s="52" t="s">
        <v>316</v>
      </c>
      <c r="J69" s="43"/>
      <c r="K69" s="43"/>
      <c r="M69" s="52" t="s">
        <v>492</v>
      </c>
    </row>
    <row r="70" spans="1:17" ht="31.2">
      <c r="A70" s="3" cm="1">
        <f t="array" aca="1" ref="A70" ca="1">INDIRECT("A"&amp;ROW()-1)+1</f>
        <v>37</v>
      </c>
      <c r="B70" s="3">
        <f t="shared" ca="1" si="9"/>
        <v>37</v>
      </c>
      <c r="C70" s="17" t="str">
        <f ca="1">A68&amp;"==True"</f>
        <v>36==True</v>
      </c>
      <c r="D70" s="4" t="s">
        <v>326</v>
      </c>
      <c r="E70" s="11" t="s">
        <v>154</v>
      </c>
      <c r="F70" s="54" t="s">
        <v>132</v>
      </c>
      <c r="H70" s="15" t="s">
        <v>136</v>
      </c>
      <c r="I70" s="15"/>
      <c r="J70" s="44">
        <f>J68</f>
        <v>3</v>
      </c>
      <c r="K70" s="42" t="s">
        <v>429</v>
      </c>
      <c r="M70" s="35" t="s">
        <v>357</v>
      </c>
      <c r="N70" s="16"/>
      <c r="O70" s="8"/>
      <c r="P70" s="18"/>
      <c r="Q70" s="36" t="s">
        <v>325</v>
      </c>
    </row>
    <row r="71" spans="1:17" ht="31.2">
      <c r="A71" s="3" cm="1">
        <f t="array" aca="1" ref="A71" ca="1">INDIRECT("A"&amp;ROW()-1)+1</f>
        <v>38</v>
      </c>
      <c r="B71" s="3">
        <f t="shared" ca="1" si="9"/>
        <v>38</v>
      </c>
      <c r="C71" s="3" t="str">
        <f ca="1">A39&amp;"==True"</f>
        <v>20==True</v>
      </c>
      <c r="D71" s="4" t="s">
        <v>329</v>
      </c>
      <c r="E71" s="21" t="s">
        <v>5</v>
      </c>
      <c r="F71" s="56" t="s">
        <v>141</v>
      </c>
      <c r="G71" s="5" t="s">
        <v>1</v>
      </c>
      <c r="H71" s="7" t="b">
        <v>1</v>
      </c>
      <c r="I71" s="52" t="s">
        <v>499</v>
      </c>
      <c r="J71" s="43">
        <f>J39</f>
        <v>3</v>
      </c>
      <c r="K71" s="42" t="s">
        <v>428</v>
      </c>
      <c r="L71" s="51" t="s">
        <v>579</v>
      </c>
      <c r="M71" s="51" t="s">
        <v>500</v>
      </c>
      <c r="Q71" s="19" t="s">
        <v>178</v>
      </c>
    </row>
    <row r="72" spans="1:17">
      <c r="A72" s="3" cm="1">
        <f t="array" aca="1" ref="A72" ca="1">INDIRECT("A"&amp;ROW()-1)</f>
        <v>38</v>
      </c>
      <c r="B72" s="3" t="str">
        <f t="shared" ca="1" si="9"/>
        <v/>
      </c>
      <c r="F72" s="55" t="str">
        <f t="shared" ref="F72" si="11">F71</f>
        <v>FALSE</v>
      </c>
      <c r="G72" s="5" t="s">
        <v>2</v>
      </c>
      <c r="H72" s="7" t="b">
        <v>0</v>
      </c>
      <c r="I72" s="52" t="s">
        <v>316</v>
      </c>
      <c r="J72" s="43"/>
      <c r="K72" s="43"/>
      <c r="M72" s="51" t="s">
        <v>500</v>
      </c>
    </row>
    <row r="73" spans="1:17" ht="31.2">
      <c r="A73" s="3" cm="1">
        <f t="array" aca="1" ref="A73" ca="1">INDIRECT("A"&amp;ROW()-1)+1</f>
        <v>39</v>
      </c>
      <c r="B73" s="3">
        <f t="shared" ca="1" si="9"/>
        <v>39</v>
      </c>
      <c r="C73" s="3" t="str">
        <f ca="1">A39&amp;"==True"</f>
        <v>20==True</v>
      </c>
      <c r="D73" s="4" t="s">
        <v>124</v>
      </c>
      <c r="E73" s="5" t="s">
        <v>5</v>
      </c>
      <c r="F73" s="56" t="s">
        <v>141</v>
      </c>
      <c r="G73" s="5" t="s">
        <v>1</v>
      </c>
      <c r="H73" s="7" t="b">
        <v>1</v>
      </c>
      <c r="I73" s="52" t="s">
        <v>502</v>
      </c>
      <c r="J73" s="43">
        <f>J71</f>
        <v>3</v>
      </c>
      <c r="K73" s="42" t="s">
        <v>428</v>
      </c>
      <c r="L73" s="51" t="s">
        <v>580</v>
      </c>
      <c r="M73" s="51" t="s">
        <v>501</v>
      </c>
      <c r="Q73" s="19" t="s">
        <v>179</v>
      </c>
    </row>
    <row r="74" spans="1:17">
      <c r="A74" s="3" cm="1">
        <f t="array" aca="1" ref="A74" ca="1">INDIRECT("A"&amp;ROW()-1)</f>
        <v>39</v>
      </c>
      <c r="B74" s="3" t="str">
        <f t="shared" ca="1" si="9"/>
        <v/>
      </c>
      <c r="F74" s="55" t="str">
        <f t="shared" ref="F74" si="12">F73</f>
        <v>FALSE</v>
      </c>
      <c r="G74" s="5" t="s">
        <v>2</v>
      </c>
      <c r="H74" s="7" t="b">
        <v>0</v>
      </c>
      <c r="I74" s="34" t="s">
        <v>316</v>
      </c>
      <c r="J74" s="43"/>
      <c r="K74" s="43"/>
      <c r="M74" s="51" t="s">
        <v>501</v>
      </c>
    </row>
    <row r="75" spans="1:17">
      <c r="A75" s="3" cm="1">
        <f t="array" aca="1" ref="A75" ca="1">INDIRECT("A"&amp;ROW()-1)+1</f>
        <v>40</v>
      </c>
      <c r="B75" s="3">
        <f t="shared" ca="1" si="9"/>
        <v>40</v>
      </c>
      <c r="C75" s="3" t="str">
        <f ca="1">A73&amp;"==True"</f>
        <v>39==True</v>
      </c>
      <c r="D75" s="4" t="s">
        <v>265</v>
      </c>
      <c r="E75" s="11" t="s">
        <v>155</v>
      </c>
      <c r="F75" s="45" t="s">
        <v>132</v>
      </c>
      <c r="H75" s="15" t="s">
        <v>136</v>
      </c>
      <c r="I75" s="15"/>
      <c r="J75" s="44">
        <f>J73</f>
        <v>3</v>
      </c>
      <c r="K75" s="42" t="s">
        <v>428</v>
      </c>
      <c r="M75" s="50" t="s">
        <v>465</v>
      </c>
      <c r="N75" s="16"/>
      <c r="O75" s="8"/>
      <c r="P75" s="22" t="s">
        <v>156</v>
      </c>
      <c r="Q75" s="19" t="s">
        <v>180</v>
      </c>
    </row>
    <row r="76" spans="1:17" ht="31.2">
      <c r="A76" s="3" cm="1">
        <f t="array" aca="1" ref="A76" ca="1">INDIRECT("A"&amp;ROW()-1)+1</f>
        <v>41</v>
      </c>
      <c r="B76" s="3">
        <f t="shared" ca="1" si="9"/>
        <v>41</v>
      </c>
      <c r="C76" s="3" t="str">
        <f ca="1">A12&amp;"any['光学'] and "&amp;A12&amp;"any['光源']"</f>
        <v>7any['光学'] and 7any['光源']</v>
      </c>
      <c r="D76" s="4" t="s">
        <v>769</v>
      </c>
      <c r="E76" s="5" t="s">
        <v>5</v>
      </c>
      <c r="F76" s="56" t="s">
        <v>141</v>
      </c>
      <c r="G76" s="5" t="s">
        <v>1</v>
      </c>
      <c r="H76" s="7" t="b">
        <v>1</v>
      </c>
      <c r="I76" s="68" t="s">
        <v>770</v>
      </c>
      <c r="J76" s="43">
        <v>4</v>
      </c>
      <c r="K76" s="71" t="s">
        <v>424</v>
      </c>
      <c r="M76" s="70" t="s">
        <v>569</v>
      </c>
      <c r="Q76" s="69" t="s">
        <v>773</v>
      </c>
    </row>
    <row r="77" spans="1:17">
      <c r="A77" s="3" cm="1">
        <f t="array" aca="1" ref="A77" ca="1">INDIRECT("A"&amp;ROW()-1)</f>
        <v>41</v>
      </c>
      <c r="B77" s="3" t="str">
        <f t="shared" ca="1" si="9"/>
        <v/>
      </c>
      <c r="F77" s="55" t="str">
        <f>F76</f>
        <v>FALSE</v>
      </c>
      <c r="G77" s="5" t="s">
        <v>2</v>
      </c>
      <c r="H77" s="7" t="b">
        <v>0</v>
      </c>
      <c r="I77" s="68" t="s">
        <v>771</v>
      </c>
      <c r="J77" s="43"/>
      <c r="K77" s="43"/>
      <c r="M77" s="70" t="s">
        <v>772</v>
      </c>
    </row>
    <row r="78" spans="1:17">
      <c r="A78" s="3" cm="1">
        <f t="array" aca="1" ref="A78" ca="1">INDIRECT("A"&amp;ROW()-1)+1</f>
        <v>42</v>
      </c>
      <c r="B78" s="3">
        <f t="shared" ca="1" si="9"/>
        <v>42</v>
      </c>
      <c r="C78" s="17" t="str">
        <f ca="1">A76&amp;"==True"</f>
        <v>41==True</v>
      </c>
      <c r="D78" s="4" t="s">
        <v>775</v>
      </c>
      <c r="E78" s="11" t="s">
        <v>154</v>
      </c>
      <c r="F78" s="54" t="s">
        <v>132</v>
      </c>
      <c r="H78" s="15" t="s">
        <v>136</v>
      </c>
      <c r="I78" s="15"/>
      <c r="J78" s="44">
        <f>J76</f>
        <v>4</v>
      </c>
      <c r="K78" s="71" t="s">
        <v>424</v>
      </c>
      <c r="M78" s="70" t="s">
        <v>774</v>
      </c>
      <c r="N78" s="16"/>
      <c r="O78" s="8"/>
      <c r="P78" s="18"/>
      <c r="Q78" s="69" t="s">
        <v>776</v>
      </c>
    </row>
    <row r="79" spans="1:17" ht="31.2">
      <c r="A79" s="3" cm="1">
        <f t="array" aca="1" ref="A79" ca="1">INDIRECT("A"&amp;ROW()-1)+1</f>
        <v>43</v>
      </c>
      <c r="B79" s="3">
        <f t="shared" ca="1" si="9"/>
        <v>43</v>
      </c>
      <c r="C79" s="3" t="str">
        <f ca="1">A12&amp;"any['光学'] or "&amp;A12&amp;"any['光源']"</f>
        <v>7any['光学'] or 7any['光源']</v>
      </c>
      <c r="D79" s="4" t="s">
        <v>76</v>
      </c>
      <c r="E79" s="5" t="s">
        <v>5</v>
      </c>
      <c r="F79" s="56" t="s">
        <v>141</v>
      </c>
      <c r="G79" s="5" t="s">
        <v>1</v>
      </c>
      <c r="H79" s="7" t="b">
        <v>1</v>
      </c>
      <c r="I79" s="52" t="s">
        <v>78</v>
      </c>
      <c r="J79" s="43">
        <f>J76</f>
        <v>4</v>
      </c>
      <c r="K79" s="42" t="s">
        <v>424</v>
      </c>
      <c r="M79" s="51" t="s">
        <v>505</v>
      </c>
      <c r="Q79" s="19" t="s">
        <v>188</v>
      </c>
    </row>
    <row r="80" spans="1:17">
      <c r="A80" s="3" cm="1">
        <f t="array" aca="1" ref="A80" ca="1">INDIRECT("A"&amp;ROW()-1)</f>
        <v>43</v>
      </c>
      <c r="B80" s="3" t="str">
        <f t="shared" ca="1" si="9"/>
        <v/>
      </c>
      <c r="F80" s="55" t="str">
        <f>F79</f>
        <v>FALSE</v>
      </c>
      <c r="G80" s="5" t="s">
        <v>2</v>
      </c>
      <c r="H80" s="7" t="b">
        <v>0</v>
      </c>
      <c r="I80" s="34" t="s">
        <v>316</v>
      </c>
      <c r="J80" s="43"/>
      <c r="K80" s="43"/>
      <c r="M80" s="51"/>
    </row>
    <row r="81" spans="1:17">
      <c r="A81" s="3" cm="1">
        <f t="array" aca="1" ref="A81" ca="1">INDIRECT("A"&amp;ROW()-1)+1</f>
        <v>44</v>
      </c>
      <c r="B81" s="3">
        <f t="shared" ca="1" si="9"/>
        <v>44</v>
      </c>
      <c r="C81" s="3" t="str">
        <f ca="1">A79&amp;"==True"</f>
        <v>43==True</v>
      </c>
      <c r="D81" s="4" t="s">
        <v>129</v>
      </c>
      <c r="E81" s="24" t="s">
        <v>135</v>
      </c>
      <c r="F81" s="56" t="s">
        <v>141</v>
      </c>
      <c r="H81" s="15" t="s">
        <v>136</v>
      </c>
      <c r="I81" s="15"/>
      <c r="J81" s="44">
        <f>J79</f>
        <v>4</v>
      </c>
      <c r="K81" s="42" t="s">
        <v>424</v>
      </c>
      <c r="M81" s="35" t="s">
        <v>363</v>
      </c>
      <c r="N81" s="16"/>
      <c r="O81" s="16"/>
      <c r="P81" s="9"/>
      <c r="Q81" s="19" t="s">
        <v>187</v>
      </c>
    </row>
    <row r="82" spans="1:17">
      <c r="A82" s="3" cm="1">
        <f t="array" aca="1" ref="A82" ca="1">INDIRECT("A"&amp;ROW()-1)+1</f>
        <v>45</v>
      </c>
      <c r="B82" s="3">
        <f t="shared" ca="1" si="9"/>
        <v>45</v>
      </c>
      <c r="C82" s="3" t="str">
        <f ca="1">A80&amp;"==True"</f>
        <v>43==True</v>
      </c>
      <c r="D82" s="4" t="s">
        <v>350</v>
      </c>
      <c r="E82" s="25" t="s">
        <v>153</v>
      </c>
      <c r="F82" s="56" t="s">
        <v>141</v>
      </c>
      <c r="H82" s="15" t="s">
        <v>136</v>
      </c>
      <c r="I82" s="15"/>
      <c r="J82" s="44">
        <f>J79</f>
        <v>4</v>
      </c>
      <c r="K82" s="42" t="s">
        <v>424</v>
      </c>
      <c r="M82" s="50" t="s">
        <v>449</v>
      </c>
      <c r="N82" s="16">
        <f ca="1">A81</f>
        <v>44</v>
      </c>
      <c r="O82" s="16"/>
      <c r="P82" s="9"/>
      <c r="Q82" s="19" t="s">
        <v>186</v>
      </c>
    </row>
    <row r="83" spans="1:17" ht="34.200000000000003" customHeight="1">
      <c r="A83" s="3" cm="1">
        <f t="array" aca="1" ref="A83" ca="1">INDIRECT("A"&amp;ROW()-1)+1</f>
        <v>46</v>
      </c>
      <c r="B83" s="3">
        <f t="shared" ca="1" si="9"/>
        <v>46</v>
      </c>
      <c r="C83" s="3" t="str">
        <f ca="1">A12&amp;"any['光学'] or "&amp;A12&amp;"any['光源']"</f>
        <v>7any['光学'] or 7any['光源']</v>
      </c>
      <c r="D83" s="4" t="s">
        <v>65</v>
      </c>
      <c r="E83" s="5" t="s">
        <v>5</v>
      </c>
      <c r="F83" s="56" t="s">
        <v>141</v>
      </c>
      <c r="G83" s="5" t="s">
        <v>1</v>
      </c>
      <c r="H83" s="7" t="b">
        <v>1</v>
      </c>
      <c r="I83" s="52" t="s">
        <v>77</v>
      </c>
      <c r="J83" s="43">
        <f>J76</f>
        <v>4</v>
      </c>
      <c r="K83" s="42" t="s">
        <v>424</v>
      </c>
      <c r="L83" s="35"/>
      <c r="M83" s="51" t="s">
        <v>505</v>
      </c>
      <c r="Q83" s="19" t="s">
        <v>189</v>
      </c>
    </row>
    <row r="84" spans="1:17">
      <c r="A84" s="3" cm="1">
        <f t="array" aca="1" ref="A84" ca="1">INDIRECT("A"&amp;ROW()-1)</f>
        <v>46</v>
      </c>
      <c r="B84" s="3" t="str">
        <f t="shared" ca="1" si="9"/>
        <v/>
      </c>
      <c r="F84" s="55" t="str">
        <f>F83</f>
        <v>FALSE</v>
      </c>
      <c r="G84" s="5" t="s">
        <v>2</v>
      </c>
      <c r="H84" s="7" t="b">
        <v>0</v>
      </c>
      <c r="I84" s="34" t="s">
        <v>316</v>
      </c>
      <c r="J84" s="43"/>
      <c r="K84" s="43"/>
      <c r="M84" s="51"/>
    </row>
    <row r="85" spans="1:17" ht="31.2">
      <c r="A85" s="3" cm="1">
        <f t="array" aca="1" ref="A85" ca="1">INDIRECT("A"&amp;ROW()-1)+1</f>
        <v>47</v>
      </c>
      <c r="B85" s="3">
        <f t="shared" ca="1" si="9"/>
        <v>47</v>
      </c>
      <c r="C85" s="3" t="str">
        <f ca="1">A12&amp;"any['光学'] and "&amp;A12&amp;"any['光源']"</f>
        <v>7any['光学'] and 7any['光源']</v>
      </c>
      <c r="D85" s="4" t="s">
        <v>347</v>
      </c>
      <c r="E85" s="5" t="s">
        <v>5</v>
      </c>
      <c r="F85" s="56" t="s">
        <v>141</v>
      </c>
      <c r="G85" s="5" t="s">
        <v>1</v>
      </c>
      <c r="H85" s="7" t="b">
        <v>1</v>
      </c>
      <c r="I85" s="52" t="s">
        <v>351</v>
      </c>
      <c r="J85" s="43">
        <f>J83</f>
        <v>4</v>
      </c>
      <c r="K85" s="42" t="s">
        <v>424</v>
      </c>
      <c r="L85" s="35"/>
      <c r="M85" s="51" t="s">
        <v>505</v>
      </c>
      <c r="Q85" s="36" t="s">
        <v>352</v>
      </c>
    </row>
    <row r="86" spans="1:17">
      <c r="A86" s="3" cm="1">
        <f t="array" aca="1" ref="A86" ca="1">INDIRECT("A"&amp;ROW()-1)</f>
        <v>47</v>
      </c>
      <c r="B86" s="3" t="str">
        <f t="shared" ca="1" si="9"/>
        <v/>
      </c>
      <c r="F86" s="55" t="str">
        <f>F85</f>
        <v>FALSE</v>
      </c>
      <c r="G86" s="5" t="s">
        <v>2</v>
      </c>
      <c r="H86" s="7" t="b">
        <v>0</v>
      </c>
      <c r="I86" s="34" t="s">
        <v>316</v>
      </c>
      <c r="J86" s="43"/>
      <c r="K86" s="43"/>
    </row>
    <row r="87" spans="1:17" ht="34.200000000000003" customHeight="1">
      <c r="A87" s="3" cm="1">
        <f t="array" aca="1" ref="A87" ca="1">INDIRECT("A"&amp;ROW()-1)+1</f>
        <v>48</v>
      </c>
      <c r="B87" s="3">
        <f t="shared" ca="1" si="9"/>
        <v>48</v>
      </c>
      <c r="C87" s="3" t="str">
        <f ca="1">A83&amp;"==True or "&amp;A85&amp;"==True"</f>
        <v>46==True or 47==True</v>
      </c>
      <c r="D87" s="4" t="s">
        <v>348</v>
      </c>
      <c r="E87" s="24" t="s">
        <v>135</v>
      </c>
      <c r="F87" s="56" t="s">
        <v>141</v>
      </c>
      <c r="H87" s="15" t="s">
        <v>136</v>
      </c>
      <c r="I87" s="15"/>
      <c r="J87" s="44">
        <f>J83</f>
        <v>4</v>
      </c>
      <c r="K87" s="42" t="s">
        <v>424</v>
      </c>
      <c r="M87" s="35" t="s">
        <v>364</v>
      </c>
      <c r="N87" s="16"/>
      <c r="O87" s="16"/>
      <c r="P87" s="9"/>
      <c r="Q87" s="19" t="s">
        <v>190</v>
      </c>
    </row>
    <row r="88" spans="1:17" ht="34.200000000000003" customHeight="1">
      <c r="A88" s="3" cm="1">
        <f t="array" aca="1" ref="A88" ca="1">INDIRECT("A"&amp;ROW()-1)+1</f>
        <v>49</v>
      </c>
      <c r="B88" s="3">
        <f t="shared" ca="1" si="9"/>
        <v>49</v>
      </c>
      <c r="C88" s="3" t="str">
        <f ca="1">A83&amp;"==True or "&amp;A85&amp;"==True"</f>
        <v>46==True or 47==True</v>
      </c>
      <c r="D88" s="4" t="s">
        <v>349</v>
      </c>
      <c r="E88" s="25" t="s">
        <v>153</v>
      </c>
      <c r="F88" s="56" t="s">
        <v>141</v>
      </c>
      <c r="H88" s="15" t="s">
        <v>136</v>
      </c>
      <c r="I88" s="15"/>
      <c r="J88" s="44">
        <f>J83</f>
        <v>4</v>
      </c>
      <c r="K88" s="42" t="s">
        <v>424</v>
      </c>
      <c r="M88" s="50" t="s">
        <v>450</v>
      </c>
      <c r="N88" s="16">
        <f ca="1">A87</f>
        <v>48</v>
      </c>
      <c r="O88" s="16"/>
      <c r="P88" s="9"/>
      <c r="Q88" s="19" t="s">
        <v>191</v>
      </c>
    </row>
    <row r="89" spans="1:17">
      <c r="A89" s="3" cm="1">
        <f t="array" aca="1" ref="A89" ca="1">INDIRECT("A"&amp;ROW()-1)+1</f>
        <v>50</v>
      </c>
      <c r="B89" s="3">
        <f t="shared" ca="1" si="9"/>
        <v>50</v>
      </c>
      <c r="C89" s="3" t="str">
        <f ca="1">A79&amp;"==True"</f>
        <v>43==True</v>
      </c>
      <c r="D89" s="4" t="s">
        <v>79</v>
      </c>
      <c r="E89" s="5" t="s">
        <v>6</v>
      </c>
      <c r="F89" s="56" t="s">
        <v>141</v>
      </c>
      <c r="G89" s="5" t="s">
        <v>80</v>
      </c>
      <c r="H89" s="7" t="s">
        <v>80</v>
      </c>
      <c r="I89" s="7" t="s">
        <v>80</v>
      </c>
      <c r="J89" s="3">
        <f>J79</f>
        <v>4</v>
      </c>
      <c r="K89" s="42" t="s">
        <v>429</v>
      </c>
      <c r="M89" s="50" t="s">
        <v>451</v>
      </c>
      <c r="Q89" s="19" t="s">
        <v>194</v>
      </c>
    </row>
    <row r="90" spans="1:17" ht="31.2">
      <c r="A90" s="3" cm="1">
        <f t="array" aca="1" ref="A90" ca="1">INDIRECT("A"&amp;ROW()-1)</f>
        <v>50</v>
      </c>
      <c r="B90" s="3" t="str">
        <f t="shared" ca="1" si="9"/>
        <v/>
      </c>
      <c r="F90" s="55" t="str">
        <f>F89</f>
        <v>FALSE</v>
      </c>
      <c r="G90" s="5" t="s">
        <v>83</v>
      </c>
      <c r="H90" s="7" t="s">
        <v>81</v>
      </c>
      <c r="I90" s="7" t="s">
        <v>81</v>
      </c>
    </row>
    <row r="91" spans="1:17">
      <c r="A91" s="3" cm="1">
        <f t="array" aca="1" ref="A91" ca="1">INDIRECT("A"&amp;ROW()-1)</f>
        <v>50</v>
      </c>
      <c r="B91" s="3" t="str">
        <f t="shared" ca="1" si="9"/>
        <v/>
      </c>
      <c r="F91" s="55" t="str">
        <f t="shared" ref="F91:F102" si="13">F90</f>
        <v>FALSE</v>
      </c>
      <c r="G91" s="5" t="s">
        <v>82</v>
      </c>
      <c r="H91" s="7" t="s">
        <v>82</v>
      </c>
      <c r="I91" s="7" t="s">
        <v>82</v>
      </c>
    </row>
    <row r="92" spans="1:17">
      <c r="A92" s="3" cm="1">
        <f t="array" aca="1" ref="A92" ca="1">INDIRECT("A"&amp;ROW()-1)</f>
        <v>50</v>
      </c>
      <c r="B92" s="3" t="str">
        <f t="shared" ca="1" si="9"/>
        <v/>
      </c>
      <c r="F92" s="55" t="str">
        <f t="shared" si="13"/>
        <v>FALSE</v>
      </c>
      <c r="G92" s="5" t="s">
        <v>67</v>
      </c>
      <c r="H92" s="7" t="s">
        <v>67</v>
      </c>
      <c r="I92" s="7" t="s">
        <v>67</v>
      </c>
    </row>
    <row r="93" spans="1:17">
      <c r="A93" s="3" cm="1">
        <f t="array" aca="1" ref="A93" ca="1">INDIRECT("A"&amp;ROW()-1)</f>
        <v>50</v>
      </c>
      <c r="B93" s="3" t="str">
        <f t="shared" ca="1" si="9"/>
        <v/>
      </c>
      <c r="F93" s="55" t="str">
        <f t="shared" si="13"/>
        <v>FALSE</v>
      </c>
      <c r="G93" s="5" t="s">
        <v>68</v>
      </c>
      <c r="H93" s="7" t="s">
        <v>68</v>
      </c>
      <c r="I93" s="7" t="s">
        <v>68</v>
      </c>
    </row>
    <row r="94" spans="1:17">
      <c r="A94" s="3" cm="1">
        <f t="array" aca="1" ref="A94" ca="1">INDIRECT("A"&amp;ROW()-1)</f>
        <v>50</v>
      </c>
      <c r="B94" s="3" t="str">
        <f t="shared" ca="1" si="9"/>
        <v/>
      </c>
      <c r="F94" s="55" t="str">
        <f t="shared" si="13"/>
        <v>FALSE</v>
      </c>
      <c r="G94" s="5" t="s">
        <v>89</v>
      </c>
      <c r="H94" s="7" t="s">
        <v>89</v>
      </c>
      <c r="I94" s="7" t="s">
        <v>89</v>
      </c>
    </row>
    <row r="95" spans="1:17">
      <c r="A95" s="3" cm="1">
        <f t="array" aca="1" ref="A95" ca="1">INDIRECT("A"&amp;ROW()-1)</f>
        <v>50</v>
      </c>
      <c r="B95" s="3" t="str">
        <f t="shared" ca="1" si="9"/>
        <v/>
      </c>
      <c r="F95" s="55" t="str">
        <f t="shared" si="13"/>
        <v>FALSE</v>
      </c>
      <c r="G95" s="5" t="s">
        <v>90</v>
      </c>
      <c r="H95" s="7" t="s">
        <v>90</v>
      </c>
      <c r="I95" s="7" t="s">
        <v>90</v>
      </c>
    </row>
    <row r="96" spans="1:17">
      <c r="A96" s="3" cm="1">
        <f t="array" aca="1" ref="A96" ca="1">INDIRECT("A"&amp;ROW()-1)</f>
        <v>50</v>
      </c>
      <c r="B96" s="3" t="str">
        <f t="shared" ca="1" si="9"/>
        <v/>
      </c>
      <c r="F96" s="55" t="str">
        <f t="shared" si="13"/>
        <v>FALSE</v>
      </c>
      <c r="G96" s="5" t="s">
        <v>91</v>
      </c>
      <c r="H96" s="7" t="s">
        <v>91</v>
      </c>
      <c r="I96" s="7" t="s">
        <v>91</v>
      </c>
    </row>
    <row r="97" spans="1:18">
      <c r="A97" s="3" cm="1">
        <f t="array" aca="1" ref="A97" ca="1">INDIRECT("A"&amp;ROW()-1)</f>
        <v>50</v>
      </c>
      <c r="B97" s="3" t="str">
        <f t="shared" ca="1" si="9"/>
        <v/>
      </c>
      <c r="F97" s="55" t="str">
        <f t="shared" si="13"/>
        <v>FALSE</v>
      </c>
      <c r="G97" s="21" t="s">
        <v>127</v>
      </c>
      <c r="H97" s="20" t="s">
        <v>127</v>
      </c>
      <c r="I97" s="20" t="s">
        <v>127</v>
      </c>
      <c r="J97" s="45"/>
      <c r="K97" s="45"/>
    </row>
    <row r="98" spans="1:18">
      <c r="A98" s="3" cm="1">
        <f t="array" aca="1" ref="A98" ca="1">INDIRECT("A"&amp;ROW()-1)</f>
        <v>50</v>
      </c>
      <c r="B98" s="3" t="str">
        <f t="shared" ca="1" si="9"/>
        <v/>
      </c>
      <c r="F98" s="55" t="str">
        <f t="shared" si="13"/>
        <v>FALSE</v>
      </c>
      <c r="G98" s="5" t="s">
        <v>92</v>
      </c>
      <c r="H98" s="7" t="s">
        <v>92</v>
      </c>
      <c r="I98" s="7" t="s">
        <v>92</v>
      </c>
    </row>
    <row r="99" spans="1:18">
      <c r="A99" s="3" cm="1">
        <f t="array" aca="1" ref="A99" ca="1">INDIRECT("A"&amp;ROW()-1)</f>
        <v>50</v>
      </c>
      <c r="B99" s="3" t="str">
        <f t="shared" ca="1" si="9"/>
        <v/>
      </c>
      <c r="F99" s="55" t="str">
        <f t="shared" si="13"/>
        <v>FALSE</v>
      </c>
      <c r="G99" s="5" t="s">
        <v>95</v>
      </c>
      <c r="H99" s="7" t="s">
        <v>95</v>
      </c>
      <c r="I99" s="7" t="s">
        <v>95</v>
      </c>
    </row>
    <row r="100" spans="1:18">
      <c r="A100" s="3" cm="1">
        <f t="array" aca="1" ref="A100" ca="1">INDIRECT("A"&amp;ROW()-1)</f>
        <v>50</v>
      </c>
      <c r="B100" s="3" t="str">
        <f t="shared" ca="1" si="9"/>
        <v/>
      </c>
      <c r="F100" s="55" t="str">
        <f t="shared" si="13"/>
        <v>FALSE</v>
      </c>
      <c r="G100" s="21" t="s">
        <v>192</v>
      </c>
      <c r="H100" s="20" t="s">
        <v>192</v>
      </c>
      <c r="I100" s="20" t="s">
        <v>192</v>
      </c>
      <c r="J100" s="45"/>
      <c r="K100" s="45"/>
    </row>
    <row r="101" spans="1:18">
      <c r="A101" s="3" cm="1">
        <f t="array" aca="1" ref="A101" ca="1">INDIRECT("A"&amp;ROW()-1)</f>
        <v>50</v>
      </c>
      <c r="B101" s="3" t="str">
        <f t="shared" ca="1" si="9"/>
        <v/>
      </c>
      <c r="F101" s="55" t="str">
        <f t="shared" si="13"/>
        <v>FALSE</v>
      </c>
      <c r="G101" s="5" t="s">
        <v>93</v>
      </c>
      <c r="H101" s="7" t="s">
        <v>93</v>
      </c>
      <c r="I101" s="7" t="s">
        <v>93</v>
      </c>
    </row>
    <row r="102" spans="1:18">
      <c r="A102" s="3" cm="1">
        <f t="array" aca="1" ref="A102" ca="1">INDIRECT("A"&amp;ROW()-1)</f>
        <v>50</v>
      </c>
      <c r="B102" s="3" t="str">
        <f t="shared" ca="1" si="9"/>
        <v/>
      </c>
      <c r="F102" s="55" t="str">
        <f t="shared" si="13"/>
        <v>FALSE</v>
      </c>
      <c r="G102" s="5" t="s">
        <v>94</v>
      </c>
      <c r="H102" s="7" t="s">
        <v>94</v>
      </c>
      <c r="I102" s="7" t="s">
        <v>94</v>
      </c>
    </row>
    <row r="103" spans="1:18">
      <c r="A103" s="3" cm="1">
        <f t="array" aca="1" ref="A103" ca="1">INDIRECT("A"&amp;ROW()-1)+1</f>
        <v>51</v>
      </c>
      <c r="B103" s="3">
        <f t="shared" ca="1" si="9"/>
        <v>51</v>
      </c>
      <c r="C103" s="3" t="str">
        <f ca="1">A89&amp;"any['峰值波长']"</f>
        <v>50any['峰值波长']</v>
      </c>
      <c r="D103" s="4" t="s">
        <v>266</v>
      </c>
      <c r="E103" s="24" t="s">
        <v>153</v>
      </c>
      <c r="F103" s="46" t="s">
        <v>132</v>
      </c>
      <c r="H103" s="15" t="s">
        <v>136</v>
      </c>
      <c r="I103" s="15"/>
      <c r="J103" s="44">
        <f>J89</f>
        <v>4</v>
      </c>
      <c r="K103" s="42" t="s">
        <v>429</v>
      </c>
      <c r="M103" s="4" t="s">
        <v>452</v>
      </c>
      <c r="N103" s="16">
        <f ca="1">A81</f>
        <v>44</v>
      </c>
      <c r="O103" s="8">
        <f ca="1">A82</f>
        <v>45</v>
      </c>
      <c r="P103" s="22" t="s">
        <v>156</v>
      </c>
      <c r="Q103" s="79" t="s">
        <v>938</v>
      </c>
      <c r="R103" s="78" t="s">
        <v>957</v>
      </c>
    </row>
    <row r="104" spans="1:18">
      <c r="A104" s="3" cm="1">
        <f t="array" aca="1" ref="A104" ca="1">INDIRECT("A"&amp;ROW()-1)+1</f>
        <v>52</v>
      </c>
      <c r="B104" s="3">
        <f t="shared" ca="1" si="9"/>
        <v>52</v>
      </c>
      <c r="C104" s="3" t="str">
        <f ca="1">A89&amp;"any['主波长']"</f>
        <v>50any['主波长']</v>
      </c>
      <c r="D104" s="4" t="s">
        <v>267</v>
      </c>
      <c r="E104" s="25" t="s">
        <v>153</v>
      </c>
      <c r="F104" s="46" t="s">
        <v>132</v>
      </c>
      <c r="H104" s="9" t="s">
        <v>136</v>
      </c>
      <c r="I104" s="9"/>
      <c r="J104" s="44">
        <f>J89</f>
        <v>4</v>
      </c>
      <c r="K104" s="42" t="s">
        <v>429</v>
      </c>
      <c r="M104" s="4" t="s">
        <v>453</v>
      </c>
      <c r="N104" s="16">
        <f ca="1">A81</f>
        <v>44</v>
      </c>
      <c r="O104" s="8">
        <f ca="1">A82</f>
        <v>45</v>
      </c>
      <c r="P104" s="22" t="s">
        <v>156</v>
      </c>
      <c r="Q104" s="79" t="s">
        <v>938</v>
      </c>
      <c r="R104" s="78" t="s">
        <v>957</v>
      </c>
    </row>
    <row r="105" spans="1:18">
      <c r="A105" s="3" cm="1">
        <f t="array" aca="1" ref="A105" ca="1">INDIRECT("A"&amp;ROW()-1)+1</f>
        <v>53</v>
      </c>
      <c r="B105" s="3">
        <f t="shared" ca="1" si="9"/>
        <v>53</v>
      </c>
      <c r="C105" s="3" t="str">
        <f ca="1">A89&amp;"any['半峰全宽']"</f>
        <v>50any['半峰全宽']</v>
      </c>
      <c r="D105" s="4" t="s">
        <v>268</v>
      </c>
      <c r="E105" s="25" t="s">
        <v>153</v>
      </c>
      <c r="F105" s="46" t="s">
        <v>132</v>
      </c>
      <c r="H105" s="9" t="s">
        <v>136</v>
      </c>
      <c r="I105" s="9"/>
      <c r="J105" s="44">
        <f>J89</f>
        <v>4</v>
      </c>
      <c r="K105" s="42" t="s">
        <v>429</v>
      </c>
      <c r="M105" s="4" t="s">
        <v>454</v>
      </c>
      <c r="N105" s="16">
        <f ca="1">A81</f>
        <v>44</v>
      </c>
      <c r="O105" s="8">
        <f ca="1">A82</f>
        <v>45</v>
      </c>
      <c r="P105" s="22" t="s">
        <v>156</v>
      </c>
      <c r="Q105" s="79" t="s">
        <v>938</v>
      </c>
      <c r="R105" s="78" t="s">
        <v>957</v>
      </c>
    </row>
    <row r="106" spans="1:18">
      <c r="A106" s="3" cm="1">
        <f t="array" aca="1" ref="A106" ca="1">INDIRECT("A"&amp;ROW()-1)+1</f>
        <v>54</v>
      </c>
      <c r="B106" s="3">
        <f t="shared" ca="1" si="9"/>
        <v>54</v>
      </c>
      <c r="C106" s="3" t="str">
        <f ca="1">A89&amp;"any['光通量']"</f>
        <v>50any['光通量']</v>
      </c>
      <c r="D106" s="4" t="s">
        <v>269</v>
      </c>
      <c r="E106" s="25" t="s">
        <v>153</v>
      </c>
      <c r="F106" s="46" t="s">
        <v>132</v>
      </c>
      <c r="H106" s="9" t="s">
        <v>136</v>
      </c>
      <c r="I106" s="9"/>
      <c r="J106" s="44">
        <f>J89</f>
        <v>4</v>
      </c>
      <c r="K106" s="42" t="s">
        <v>429</v>
      </c>
      <c r="M106" s="4" t="s">
        <v>455</v>
      </c>
      <c r="N106" s="16">
        <f ca="1">A81</f>
        <v>44</v>
      </c>
      <c r="O106" s="8">
        <f ca="1">A82</f>
        <v>45</v>
      </c>
      <c r="P106" s="22" t="s">
        <v>156</v>
      </c>
      <c r="Q106" s="79" t="s">
        <v>938</v>
      </c>
      <c r="R106" s="78" t="s">
        <v>958</v>
      </c>
    </row>
    <row r="107" spans="1:18">
      <c r="A107" s="3" cm="1">
        <f t="array" aca="1" ref="A107" ca="1">INDIRECT("A"&amp;ROW()-1)+1</f>
        <v>55</v>
      </c>
      <c r="B107" s="3">
        <f t="shared" ca="1" si="9"/>
        <v>55</v>
      </c>
      <c r="C107" s="3" t="str">
        <f ca="1">A89&amp;"any['光功率']"</f>
        <v>50any['光功率']</v>
      </c>
      <c r="D107" s="4" t="s">
        <v>270</v>
      </c>
      <c r="E107" s="25" t="s">
        <v>153</v>
      </c>
      <c r="F107" s="46" t="s">
        <v>132</v>
      </c>
      <c r="H107" s="9" t="s">
        <v>136</v>
      </c>
      <c r="I107" s="9"/>
      <c r="J107" s="44">
        <f>J89</f>
        <v>4</v>
      </c>
      <c r="K107" s="42" t="s">
        <v>429</v>
      </c>
      <c r="M107" s="4" t="s">
        <v>456</v>
      </c>
      <c r="N107" s="16">
        <f ca="1">A81</f>
        <v>44</v>
      </c>
      <c r="O107" s="8">
        <f ca="1">A82</f>
        <v>45</v>
      </c>
      <c r="P107" s="22" t="s">
        <v>156</v>
      </c>
      <c r="Q107" s="79" t="s">
        <v>938</v>
      </c>
      <c r="R107" s="78" t="s">
        <v>959</v>
      </c>
    </row>
    <row r="108" spans="1:18" ht="31.2">
      <c r="A108" s="3" cm="1">
        <f t="array" aca="1" ref="A108" ca="1">INDIRECT("A"&amp;ROW()-1)+1</f>
        <v>56</v>
      </c>
      <c r="B108" s="3">
        <f t="shared" ca="1" si="9"/>
        <v>56</v>
      </c>
      <c r="C108" s="3" t="str">
        <f ca="1">A89&amp;"any['照度']"</f>
        <v>50any['照度']</v>
      </c>
      <c r="D108" s="4" t="s">
        <v>271</v>
      </c>
      <c r="E108" s="68" t="s">
        <v>154</v>
      </c>
      <c r="F108" s="46" t="s">
        <v>132</v>
      </c>
      <c r="H108" s="9" t="s">
        <v>136</v>
      </c>
      <c r="I108" s="9"/>
      <c r="J108" s="44">
        <f>J89</f>
        <v>4</v>
      </c>
      <c r="K108" s="42" t="s">
        <v>429</v>
      </c>
      <c r="M108" s="4" t="s">
        <v>668</v>
      </c>
      <c r="N108" s="16">
        <f ca="1">A81</f>
        <v>44</v>
      </c>
      <c r="O108" s="8">
        <f ca="1">A82</f>
        <v>45</v>
      </c>
      <c r="P108" s="22"/>
      <c r="Q108" s="79" t="s">
        <v>939</v>
      </c>
      <c r="R108" s="78" t="s">
        <v>969</v>
      </c>
    </row>
    <row r="109" spans="1:18" ht="31.2">
      <c r="A109" s="3" cm="1">
        <f t="array" aca="1" ref="A109" ca="1">INDIRECT("A"&amp;ROW()-1)+1</f>
        <v>57</v>
      </c>
      <c r="B109" s="3">
        <f t="shared" ca="1" si="9"/>
        <v>57</v>
      </c>
      <c r="C109" s="3" t="str">
        <f ca="1">A89&amp;"any['辐照度']"</f>
        <v>50any['辐照度']</v>
      </c>
      <c r="D109" s="4" t="s">
        <v>272</v>
      </c>
      <c r="E109" s="68" t="s">
        <v>154</v>
      </c>
      <c r="F109" s="46" t="s">
        <v>132</v>
      </c>
      <c r="H109" s="9" t="s">
        <v>136</v>
      </c>
      <c r="I109" s="9"/>
      <c r="J109" s="44">
        <f>J89</f>
        <v>4</v>
      </c>
      <c r="K109" s="42" t="s">
        <v>429</v>
      </c>
      <c r="M109" s="4" t="s">
        <v>669</v>
      </c>
      <c r="N109" s="16">
        <f ca="1">A81</f>
        <v>44</v>
      </c>
      <c r="O109" s="8">
        <f ca="1">A82</f>
        <v>45</v>
      </c>
      <c r="P109" s="22"/>
      <c r="Q109" s="79" t="s">
        <v>939</v>
      </c>
      <c r="R109" s="78" t="s">
        <v>970</v>
      </c>
    </row>
    <row r="110" spans="1:18" ht="31.2">
      <c r="A110" s="3" cm="1">
        <f t="array" aca="1" ref="A110" ca="1">INDIRECT("A"&amp;ROW()-1)+1</f>
        <v>58</v>
      </c>
      <c r="B110" s="3">
        <f t="shared" ca="1" si="9"/>
        <v>58</v>
      </c>
      <c r="C110" s="3" t="str">
        <f ca="1">A90&amp;"any['亮度']"</f>
        <v>50any['亮度']</v>
      </c>
      <c r="D110" s="4" t="s">
        <v>277</v>
      </c>
      <c r="E110" s="68" t="s">
        <v>154</v>
      </c>
      <c r="F110" s="46" t="s">
        <v>132</v>
      </c>
      <c r="H110" s="9" t="s">
        <v>136</v>
      </c>
      <c r="I110" s="9"/>
      <c r="J110" s="44">
        <f>J89</f>
        <v>4</v>
      </c>
      <c r="K110" s="42" t="s">
        <v>429</v>
      </c>
      <c r="M110" s="4" t="s">
        <v>670</v>
      </c>
      <c r="N110" s="16">
        <f ca="1">A81</f>
        <v>44</v>
      </c>
      <c r="O110" s="8">
        <f ca="1">A82</f>
        <v>45</v>
      </c>
      <c r="P110" s="22"/>
      <c r="Q110" s="79" t="s">
        <v>939</v>
      </c>
      <c r="R110" s="78" t="s">
        <v>971</v>
      </c>
    </row>
    <row r="111" spans="1:18" ht="31.2">
      <c r="A111" s="3" cm="1">
        <f t="array" aca="1" ref="A111" ca="1">INDIRECT("A"&amp;ROW()-1)+1</f>
        <v>59</v>
      </c>
      <c r="B111" s="3">
        <f t="shared" ca="1" si="9"/>
        <v>59</v>
      </c>
      <c r="C111" s="3" t="str">
        <f ca="1">A89&amp;"any['光斑尺寸']"</f>
        <v>50any['光斑尺寸']</v>
      </c>
      <c r="D111" s="4" t="s">
        <v>273</v>
      </c>
      <c r="E111" s="68" t="s">
        <v>154</v>
      </c>
      <c r="F111" s="46" t="s">
        <v>132</v>
      </c>
      <c r="H111" s="9" t="s">
        <v>136</v>
      </c>
      <c r="I111" s="9"/>
      <c r="J111" s="44">
        <f>J89</f>
        <v>4</v>
      </c>
      <c r="K111" s="42" t="s">
        <v>429</v>
      </c>
      <c r="M111" s="4" t="s">
        <v>671</v>
      </c>
      <c r="N111" s="16">
        <f ca="1">A81</f>
        <v>44</v>
      </c>
      <c r="O111" s="8">
        <f ca="1">A82</f>
        <v>45</v>
      </c>
      <c r="P111" s="22"/>
      <c r="Q111" s="79" t="s">
        <v>939</v>
      </c>
      <c r="R111" s="78" t="s">
        <v>972</v>
      </c>
    </row>
    <row r="112" spans="1:18" ht="62.4">
      <c r="A112" s="3" cm="1">
        <f t="array" aca="1" ref="A112" ca="1">INDIRECT("A"&amp;ROW()-1)+1</f>
        <v>60</v>
      </c>
      <c r="B112" s="3">
        <f t="shared" ca="1" si="9"/>
        <v>60</v>
      </c>
      <c r="C112" s="3" t="str">
        <f ca="1">A89&amp;"any['光斑均匀性']"</f>
        <v>50any['光斑均匀性']</v>
      </c>
      <c r="D112" s="4" t="s">
        <v>274</v>
      </c>
      <c r="E112" s="21" t="s">
        <v>193</v>
      </c>
      <c r="F112" s="46" t="s">
        <v>132</v>
      </c>
      <c r="H112" s="9" t="s">
        <v>136</v>
      </c>
      <c r="I112" s="9"/>
      <c r="J112" s="42">
        <f>J89</f>
        <v>4</v>
      </c>
      <c r="K112" s="42" t="s">
        <v>429</v>
      </c>
      <c r="M112" s="4" t="s">
        <v>672</v>
      </c>
      <c r="N112" s="16">
        <f ca="1">A81</f>
        <v>44</v>
      </c>
      <c r="O112" s="8">
        <f ca="1">A82</f>
        <v>45</v>
      </c>
      <c r="P112" s="22"/>
      <c r="Q112" s="79" t="s">
        <v>673</v>
      </c>
      <c r="R112" s="78"/>
    </row>
    <row r="113" spans="1:18">
      <c r="A113" s="3" cm="1">
        <f t="array" aca="1" ref="A113" ca="1">INDIRECT("A"&amp;ROW()-1)+1</f>
        <v>61</v>
      </c>
      <c r="B113" s="3">
        <f t="shared" ca="1" si="9"/>
        <v>61</v>
      </c>
      <c r="C113" s="3" t="str">
        <f ca="1">A89&amp;"any['光强']"</f>
        <v>50any['光强']</v>
      </c>
      <c r="D113" s="4" t="s">
        <v>275</v>
      </c>
      <c r="E113" s="25" t="s">
        <v>153</v>
      </c>
      <c r="F113" s="46" t="s">
        <v>132</v>
      </c>
      <c r="H113" s="9" t="s">
        <v>136</v>
      </c>
      <c r="I113" s="9"/>
      <c r="J113" s="44">
        <f>J89</f>
        <v>4</v>
      </c>
      <c r="K113" s="42" t="s">
        <v>429</v>
      </c>
      <c r="M113" s="4" t="s">
        <v>457</v>
      </c>
      <c r="N113" s="16">
        <f ca="1">A81</f>
        <v>44</v>
      </c>
      <c r="O113" s="8">
        <f ca="1">A82</f>
        <v>45</v>
      </c>
      <c r="P113" s="22" t="s">
        <v>156</v>
      </c>
      <c r="Q113" s="79" t="s">
        <v>938</v>
      </c>
      <c r="R113" s="78" t="s">
        <v>960</v>
      </c>
    </row>
    <row r="114" spans="1:18">
      <c r="A114" s="3" cm="1">
        <f t="array" aca="1" ref="A114" ca="1">INDIRECT("A"&amp;ROW()-1)+1</f>
        <v>62</v>
      </c>
      <c r="B114" s="3">
        <f t="shared" ca="1" si="9"/>
        <v>62</v>
      </c>
      <c r="C114" s="3" t="str">
        <f ca="1">A89&amp;"any['辐射强度']"</f>
        <v>50any['辐射强度']</v>
      </c>
      <c r="D114" s="4" t="s">
        <v>276</v>
      </c>
      <c r="E114" s="25" t="s">
        <v>153</v>
      </c>
      <c r="F114" s="46" t="s">
        <v>132</v>
      </c>
      <c r="H114" s="9" t="s">
        <v>136</v>
      </c>
      <c r="I114" s="9"/>
      <c r="J114" s="44">
        <f>J89</f>
        <v>4</v>
      </c>
      <c r="K114" s="42" t="s">
        <v>429</v>
      </c>
      <c r="M114" s="4" t="s">
        <v>458</v>
      </c>
      <c r="N114" s="16">
        <f ca="1">A81</f>
        <v>44</v>
      </c>
      <c r="O114" s="8">
        <f ca="1">A82</f>
        <v>45</v>
      </c>
      <c r="P114" s="22" t="s">
        <v>156</v>
      </c>
      <c r="Q114" s="79" t="s">
        <v>938</v>
      </c>
      <c r="R114" s="78" t="s">
        <v>961</v>
      </c>
    </row>
    <row r="115" spans="1:18" ht="31.2">
      <c r="A115" s="3" cm="1">
        <f t="array" aca="1" ref="A115" ca="1">INDIRECT("A"&amp;ROW()-1)+1</f>
        <v>63</v>
      </c>
      <c r="B115" s="3">
        <f t="shared" ca="1" si="9"/>
        <v>63</v>
      </c>
      <c r="C115" s="3" t="str">
        <f ca="1">A89&amp;"any['光束全角']"</f>
        <v>50any['光束全角']</v>
      </c>
      <c r="D115" s="4" t="s">
        <v>278</v>
      </c>
      <c r="E115" s="25" t="s">
        <v>153</v>
      </c>
      <c r="F115" s="46" t="s">
        <v>132</v>
      </c>
      <c r="H115" s="9" t="s">
        <v>136</v>
      </c>
      <c r="I115" s="9"/>
      <c r="J115" s="44">
        <f>J89</f>
        <v>4</v>
      </c>
      <c r="K115" s="42" t="s">
        <v>429</v>
      </c>
      <c r="M115" s="4" t="s">
        <v>459</v>
      </c>
      <c r="N115" s="16">
        <f ca="1">A81</f>
        <v>44</v>
      </c>
      <c r="O115" s="8">
        <f ca="1">A82</f>
        <v>45</v>
      </c>
      <c r="P115" s="22" t="s">
        <v>156</v>
      </c>
      <c r="Q115" s="79" t="s">
        <v>940</v>
      </c>
      <c r="R115" s="78" t="s">
        <v>962</v>
      </c>
    </row>
    <row r="116" spans="1:18" ht="31.2">
      <c r="A116" s="3" cm="1">
        <f t="array" aca="1" ref="A116" ca="1">INDIRECT("A"&amp;ROW()-1)+1</f>
        <v>64</v>
      </c>
      <c r="B116" s="3">
        <f t="shared" ca="1" si="9"/>
        <v>64</v>
      </c>
      <c r="C116" s="3" t="str">
        <f ca="1">A89&amp;"any['视场全角']"</f>
        <v>50any['视场全角']</v>
      </c>
      <c r="D116" s="4" t="s">
        <v>279</v>
      </c>
      <c r="E116" s="25" t="s">
        <v>153</v>
      </c>
      <c r="F116" s="46" t="s">
        <v>132</v>
      </c>
      <c r="H116" s="9" t="s">
        <v>136</v>
      </c>
      <c r="I116" s="9"/>
      <c r="J116" s="44">
        <f>J89</f>
        <v>4</v>
      </c>
      <c r="K116" s="42" t="s">
        <v>429</v>
      </c>
      <c r="M116" s="4" t="s">
        <v>460</v>
      </c>
      <c r="N116" s="16">
        <f ca="1">A81</f>
        <v>44</v>
      </c>
      <c r="O116" s="8">
        <f ca="1">A82</f>
        <v>45</v>
      </c>
      <c r="P116" s="22" t="s">
        <v>156</v>
      </c>
      <c r="Q116" s="79" t="s">
        <v>941</v>
      </c>
      <c r="R116" s="78" t="s">
        <v>962</v>
      </c>
    </row>
    <row r="117" spans="1:18">
      <c r="A117" s="3" cm="1">
        <f t="array" aca="1" ref="A117" ca="1">INDIRECT("A"&amp;ROW()-1)+1</f>
        <v>65</v>
      </c>
      <c r="B117" s="3">
        <f t="shared" ca="1" si="9"/>
        <v>65</v>
      </c>
      <c r="C117" s="3" t="str">
        <f ca="1">A83&amp;"==True"</f>
        <v>46==True</v>
      </c>
      <c r="D117" s="4" t="s">
        <v>344</v>
      </c>
      <c r="E117" s="5" t="s">
        <v>6</v>
      </c>
      <c r="F117" s="56" t="s">
        <v>141</v>
      </c>
      <c r="G117" s="23" t="s">
        <v>66</v>
      </c>
      <c r="H117" s="7" t="s">
        <v>71</v>
      </c>
      <c r="I117" s="7" t="s">
        <v>71</v>
      </c>
      <c r="J117" s="3">
        <f>J87</f>
        <v>4</v>
      </c>
      <c r="K117" s="42" t="s">
        <v>429</v>
      </c>
      <c r="M117" s="35" t="s">
        <v>365</v>
      </c>
      <c r="Q117" s="19" t="s">
        <v>194</v>
      </c>
    </row>
    <row r="118" spans="1:18">
      <c r="A118" s="3" cm="1">
        <f t="array" aca="1" ref="A118" ca="1">INDIRECT("A"&amp;ROW()-1)</f>
        <v>65</v>
      </c>
      <c r="B118" s="3" t="str">
        <f t="shared" ca="1" si="9"/>
        <v/>
      </c>
      <c r="F118" s="55" t="str">
        <f t="shared" ref="F118:F133" si="14">F117</f>
        <v>FALSE</v>
      </c>
      <c r="G118" s="21" t="s">
        <v>69</v>
      </c>
      <c r="H118" s="7" t="s">
        <v>72</v>
      </c>
      <c r="I118" s="7" t="s">
        <v>72</v>
      </c>
    </row>
    <row r="119" spans="1:18">
      <c r="A119" s="3" cm="1">
        <f t="array" aca="1" ref="A119" ca="1">INDIRECT("A"&amp;ROW()-1)</f>
        <v>65</v>
      </c>
      <c r="B119" s="3" t="str">
        <f t="shared" ca="1" si="9"/>
        <v/>
      </c>
      <c r="F119" s="55" t="str">
        <f t="shared" si="14"/>
        <v>FALSE</v>
      </c>
      <c r="G119" s="23" t="s">
        <v>70</v>
      </c>
      <c r="H119" s="7" t="s">
        <v>73</v>
      </c>
      <c r="I119" s="34" t="s">
        <v>366</v>
      </c>
      <c r="J119" s="43"/>
      <c r="K119" s="43"/>
      <c r="L119" s="58"/>
    </row>
    <row r="120" spans="1:18">
      <c r="A120" s="3" cm="1">
        <f t="array" aca="1" ref="A120" ca="1">INDIRECT("A"&amp;ROW()-1)</f>
        <v>65</v>
      </c>
      <c r="B120" s="3" t="str">
        <f t="shared" ca="1" si="9"/>
        <v/>
      </c>
      <c r="F120" s="55" t="str">
        <f t="shared" si="14"/>
        <v>FALSE</v>
      </c>
      <c r="G120" s="29" t="s">
        <v>74</v>
      </c>
      <c r="H120" s="7" t="s">
        <v>75</v>
      </c>
      <c r="I120" s="7" t="s">
        <v>75</v>
      </c>
      <c r="L120" s="58"/>
    </row>
    <row r="121" spans="1:18">
      <c r="A121" s="3" cm="1">
        <f t="array" aca="1" ref="A121" ca="1">INDIRECT("A"&amp;ROW()-1)</f>
        <v>65</v>
      </c>
      <c r="B121" s="3" t="str">
        <f t="shared" ca="1" si="9"/>
        <v/>
      </c>
      <c r="F121" s="55" t="str">
        <f t="shared" si="14"/>
        <v>FALSE</v>
      </c>
      <c r="G121" s="29" t="s">
        <v>284</v>
      </c>
      <c r="H121" s="28" t="s">
        <v>285</v>
      </c>
      <c r="I121" s="28" t="s">
        <v>285</v>
      </c>
      <c r="J121" s="46"/>
      <c r="K121" s="46"/>
      <c r="L121" s="58"/>
    </row>
    <row r="122" spans="1:18">
      <c r="A122" s="3" cm="1">
        <f t="array" aca="1" ref="A122" ca="1">INDIRECT("A"&amp;ROW()-1)</f>
        <v>65</v>
      </c>
      <c r="B122" s="3" t="str">
        <f t="shared" ca="1" si="9"/>
        <v/>
      </c>
      <c r="F122" s="55" t="str">
        <f t="shared" si="14"/>
        <v>FALSE</v>
      </c>
      <c r="G122" s="35" t="s">
        <v>345</v>
      </c>
      <c r="H122" s="34" t="s">
        <v>345</v>
      </c>
      <c r="I122" s="34" t="s">
        <v>345</v>
      </c>
      <c r="J122" s="43"/>
      <c r="K122" s="43"/>
      <c r="L122" s="58"/>
    </row>
    <row r="123" spans="1:18">
      <c r="A123" s="3" cm="1">
        <f t="array" aca="1" ref="A123" ca="1">INDIRECT("A"&amp;ROW()-1)</f>
        <v>65</v>
      </c>
      <c r="B123" s="3" t="str">
        <f t="shared" ca="1" si="9"/>
        <v/>
      </c>
      <c r="F123" s="55" t="str">
        <f t="shared" si="14"/>
        <v>FALSE</v>
      </c>
      <c r="G123" s="23" t="s">
        <v>67</v>
      </c>
      <c r="H123" s="7" t="s">
        <v>67</v>
      </c>
      <c r="I123" s="7" t="s">
        <v>67</v>
      </c>
    </row>
    <row r="124" spans="1:18">
      <c r="A124" s="3" cm="1">
        <f t="array" aca="1" ref="A124" ca="1">INDIRECT("A"&amp;ROW()-1)</f>
        <v>65</v>
      </c>
      <c r="B124" s="3" t="str">
        <f t="shared" ca="1" si="9"/>
        <v/>
      </c>
      <c r="F124" s="55" t="str">
        <f t="shared" si="14"/>
        <v>FALSE</v>
      </c>
      <c r="G124" s="23" t="s">
        <v>68</v>
      </c>
      <c r="H124" s="7" t="s">
        <v>68</v>
      </c>
      <c r="I124" s="7" t="s">
        <v>68</v>
      </c>
    </row>
    <row r="125" spans="1:18">
      <c r="A125" s="3" cm="1">
        <f t="array" aca="1" ref="A125" ca="1">INDIRECT("A"&amp;ROW()-1)</f>
        <v>65</v>
      </c>
      <c r="B125" s="3" t="str">
        <f t="shared" ca="1" si="9"/>
        <v/>
      </c>
      <c r="F125" s="55" t="str">
        <f t="shared" si="14"/>
        <v>FALSE</v>
      </c>
      <c r="G125" s="23" t="s">
        <v>89</v>
      </c>
      <c r="H125" s="7" t="s">
        <v>89</v>
      </c>
      <c r="I125" s="7" t="s">
        <v>89</v>
      </c>
    </row>
    <row r="126" spans="1:18">
      <c r="A126" s="3" cm="1">
        <f t="array" aca="1" ref="A126" ca="1">INDIRECT("A"&amp;ROW()-1)</f>
        <v>65</v>
      </c>
      <c r="B126" s="3" t="str">
        <f t="shared" ca="1" si="9"/>
        <v/>
      </c>
      <c r="F126" s="55" t="str">
        <f t="shared" si="14"/>
        <v>FALSE</v>
      </c>
      <c r="G126" s="23" t="s">
        <v>90</v>
      </c>
      <c r="H126" s="7" t="s">
        <v>90</v>
      </c>
      <c r="I126" s="7" t="s">
        <v>90</v>
      </c>
    </row>
    <row r="127" spans="1:18">
      <c r="A127" s="3" cm="1">
        <f t="array" aca="1" ref="A127" ca="1">INDIRECT("A"&amp;ROW()-1)</f>
        <v>65</v>
      </c>
      <c r="B127" s="3" t="str">
        <f t="shared" ca="1" si="9"/>
        <v/>
      </c>
      <c r="F127" s="55" t="str">
        <f t="shared" si="14"/>
        <v>FALSE</v>
      </c>
      <c r="G127" s="23" t="s">
        <v>91</v>
      </c>
      <c r="H127" s="7" t="s">
        <v>91</v>
      </c>
      <c r="I127" s="7" t="s">
        <v>91</v>
      </c>
    </row>
    <row r="128" spans="1:18">
      <c r="A128" s="3" cm="1">
        <f t="array" aca="1" ref="A128" ca="1">INDIRECT("A"&amp;ROW()-1)</f>
        <v>65</v>
      </c>
      <c r="B128" s="3" t="str">
        <f t="shared" ca="1" si="9"/>
        <v/>
      </c>
      <c r="F128" s="55" t="str">
        <f t="shared" si="14"/>
        <v>FALSE</v>
      </c>
      <c r="G128" s="23" t="s">
        <v>127</v>
      </c>
      <c r="H128" s="53" t="s">
        <v>598</v>
      </c>
      <c r="I128" s="7" t="s">
        <v>598</v>
      </c>
    </row>
    <row r="129" spans="1:18">
      <c r="A129" s="3" cm="1">
        <f t="array" aca="1" ref="A129" ca="1">INDIRECT("A"&amp;ROW()-1)</f>
        <v>65</v>
      </c>
      <c r="B129" s="3" t="str">
        <f t="shared" ca="1" si="9"/>
        <v/>
      </c>
      <c r="F129" s="55" t="str">
        <f t="shared" si="14"/>
        <v>FALSE</v>
      </c>
      <c r="G129" s="23" t="s">
        <v>92</v>
      </c>
      <c r="H129" s="7" t="s">
        <v>92</v>
      </c>
      <c r="I129" s="7" t="s">
        <v>92</v>
      </c>
    </row>
    <row r="130" spans="1:18">
      <c r="A130" s="3" cm="1">
        <f t="array" aca="1" ref="A130" ca="1">INDIRECT("A"&amp;ROW()-1)</f>
        <v>65</v>
      </c>
      <c r="B130" s="3" t="str">
        <f t="shared" ca="1" si="9"/>
        <v/>
      </c>
      <c r="F130" s="55" t="str">
        <f t="shared" si="14"/>
        <v>FALSE</v>
      </c>
      <c r="G130" s="23" t="s">
        <v>95</v>
      </c>
      <c r="H130" s="7" t="s">
        <v>95</v>
      </c>
      <c r="I130" s="7" t="s">
        <v>95</v>
      </c>
    </row>
    <row r="131" spans="1:18">
      <c r="A131" s="3" cm="1">
        <f t="array" aca="1" ref="A131" ca="1">INDIRECT("A"&amp;ROW()-1)</f>
        <v>65</v>
      </c>
      <c r="B131" s="3" t="str">
        <f t="shared" ref="B131:B194" ca="1" si="15">IF(A131=A130,"",A131)</f>
        <v/>
      </c>
      <c r="F131" s="55" t="str">
        <f t="shared" si="14"/>
        <v>FALSE</v>
      </c>
      <c r="G131" s="21" t="s">
        <v>192</v>
      </c>
      <c r="H131" s="20" t="s">
        <v>192</v>
      </c>
      <c r="I131" s="20" t="s">
        <v>192</v>
      </c>
      <c r="J131" s="45"/>
      <c r="K131" s="45"/>
      <c r="L131" s="58"/>
    </row>
    <row r="132" spans="1:18">
      <c r="A132" s="3" cm="1">
        <f t="array" aca="1" ref="A132" ca="1">INDIRECT("A"&amp;ROW()-1)</f>
        <v>65</v>
      </c>
      <c r="B132" s="3" t="str">
        <f t="shared" ca="1" si="15"/>
        <v/>
      </c>
      <c r="F132" s="55" t="str">
        <f t="shared" si="14"/>
        <v>FALSE</v>
      </c>
      <c r="G132" s="23" t="s">
        <v>93</v>
      </c>
      <c r="H132" s="7" t="s">
        <v>93</v>
      </c>
      <c r="I132" s="7" t="s">
        <v>93</v>
      </c>
      <c r="L132" s="58"/>
    </row>
    <row r="133" spans="1:18">
      <c r="A133" s="3" cm="1">
        <f t="array" aca="1" ref="A133" ca="1">INDIRECT("A"&amp;ROW()-1)</f>
        <v>65</v>
      </c>
      <c r="B133" s="3" t="str">
        <f t="shared" ca="1" si="15"/>
        <v/>
      </c>
      <c r="F133" s="55" t="str">
        <f t="shared" si="14"/>
        <v>FALSE</v>
      </c>
      <c r="G133" s="23" t="s">
        <v>94</v>
      </c>
      <c r="H133" s="7" t="s">
        <v>94</v>
      </c>
      <c r="I133" s="7" t="s">
        <v>94</v>
      </c>
      <c r="L133" s="58"/>
    </row>
    <row r="134" spans="1:18">
      <c r="A134" s="3" cm="1">
        <f t="array" aca="1" ref="A134" ca="1">INDIRECT("A"&amp;ROW()-1)+1</f>
        <v>66</v>
      </c>
      <c r="B134" s="3">
        <f t="shared" ca="1" si="15"/>
        <v>66</v>
      </c>
      <c r="C134" s="3" t="str">
        <f ca="1">A117&amp;"any['CCT']"</f>
        <v>65any['CCT']</v>
      </c>
      <c r="D134" s="4" t="s">
        <v>280</v>
      </c>
      <c r="E134" s="24" t="s">
        <v>153</v>
      </c>
      <c r="F134" s="46" t="s">
        <v>132</v>
      </c>
      <c r="H134" s="15" t="s">
        <v>136</v>
      </c>
      <c r="I134" s="15"/>
      <c r="J134" s="44">
        <f>J117</f>
        <v>4</v>
      </c>
      <c r="K134" s="42" t="s">
        <v>429</v>
      </c>
      <c r="M134" s="4" t="s">
        <v>461</v>
      </c>
      <c r="N134" s="16">
        <f ca="1">A87</f>
        <v>48</v>
      </c>
      <c r="O134" s="8">
        <f ca="1">A88</f>
        <v>49</v>
      </c>
      <c r="P134" s="22" t="s">
        <v>156</v>
      </c>
      <c r="Q134" s="79" t="s">
        <v>938</v>
      </c>
      <c r="R134" s="78" t="s">
        <v>963</v>
      </c>
    </row>
    <row r="135" spans="1:18">
      <c r="A135" s="3" cm="1">
        <f t="array" aca="1" ref="A135" ca="1">INDIRECT("A"&amp;ROW()-1)+1</f>
        <v>67</v>
      </c>
      <c r="B135" s="3">
        <f t="shared" ca="1" si="15"/>
        <v>67</v>
      </c>
      <c r="C135" s="3" t="str">
        <f ca="1">A117&amp;"any['Ra']"</f>
        <v>65any['Ra']</v>
      </c>
      <c r="D135" s="4" t="s">
        <v>281</v>
      </c>
      <c r="E135" s="25" t="s">
        <v>153</v>
      </c>
      <c r="F135" s="46" t="s">
        <v>132</v>
      </c>
      <c r="H135" s="9" t="s">
        <v>136</v>
      </c>
      <c r="I135" s="9"/>
      <c r="J135" s="16">
        <f>J117</f>
        <v>4</v>
      </c>
      <c r="K135" s="42" t="s">
        <v>429</v>
      </c>
      <c r="M135" s="4" t="s">
        <v>471</v>
      </c>
      <c r="N135" s="16">
        <f ca="1">A87</f>
        <v>48</v>
      </c>
      <c r="O135" s="8">
        <f ca="1">A88</f>
        <v>49</v>
      </c>
      <c r="P135" s="22" t="s">
        <v>157</v>
      </c>
      <c r="Q135" s="79" t="s">
        <v>942</v>
      </c>
      <c r="R135" s="78" t="s">
        <v>935</v>
      </c>
    </row>
    <row r="136" spans="1:18">
      <c r="A136" s="3" cm="1">
        <f t="array" aca="1" ref="A136" ca="1">INDIRECT("A"&amp;ROW()-1)+1</f>
        <v>68</v>
      </c>
      <c r="B136" s="3">
        <f t="shared" ca="1" si="15"/>
        <v>68</v>
      </c>
      <c r="C136" s="3" t="str">
        <f ca="1">A117&amp;"any['R9']"</f>
        <v>65any['R9']</v>
      </c>
      <c r="D136" s="4" t="s">
        <v>282</v>
      </c>
      <c r="E136" s="25" t="s">
        <v>153</v>
      </c>
      <c r="F136" s="46" t="s">
        <v>132</v>
      </c>
      <c r="H136" s="9" t="s">
        <v>136</v>
      </c>
      <c r="I136" s="9"/>
      <c r="J136" s="16">
        <f>J117</f>
        <v>4</v>
      </c>
      <c r="K136" s="42" t="s">
        <v>429</v>
      </c>
      <c r="M136" s="4" t="s">
        <v>472</v>
      </c>
      <c r="N136" s="16">
        <f ca="1">A87</f>
        <v>48</v>
      </c>
      <c r="O136" s="8">
        <f ca="1">A88</f>
        <v>49</v>
      </c>
      <c r="P136" s="22" t="s">
        <v>157</v>
      </c>
      <c r="Q136" s="79" t="s">
        <v>942</v>
      </c>
      <c r="R136" s="78" t="s">
        <v>935</v>
      </c>
    </row>
    <row r="137" spans="1:18" ht="31.2">
      <c r="A137" s="3" cm="1">
        <f t="array" aca="1" ref="A137" ca="1">INDIRECT("A"&amp;ROW()-1)+1</f>
        <v>69</v>
      </c>
      <c r="B137" s="3">
        <f t="shared" ca="1" si="15"/>
        <v>69</v>
      </c>
      <c r="C137" s="3" t="str">
        <f ca="1">A117&amp;"any['CIExy']"</f>
        <v>65any['CIExy']</v>
      </c>
      <c r="D137" s="4" t="s">
        <v>283</v>
      </c>
      <c r="E137" s="21" t="s">
        <v>193</v>
      </c>
      <c r="F137" s="46" t="s">
        <v>132</v>
      </c>
      <c r="H137" s="9" t="s">
        <v>136</v>
      </c>
      <c r="I137" s="9"/>
      <c r="J137" s="16">
        <f>J117</f>
        <v>4</v>
      </c>
      <c r="K137" s="42" t="s">
        <v>429</v>
      </c>
      <c r="M137" s="4" t="s">
        <v>469</v>
      </c>
      <c r="N137" s="16">
        <f ca="1">A87</f>
        <v>48</v>
      </c>
      <c r="O137" s="8">
        <f ca="1">A88</f>
        <v>49</v>
      </c>
      <c r="P137" s="22"/>
      <c r="Q137" s="79" t="s">
        <v>943</v>
      </c>
      <c r="R137" s="78" t="s">
        <v>935</v>
      </c>
    </row>
    <row r="138" spans="1:18" ht="31.2">
      <c r="A138" s="3" cm="1">
        <f t="array" aca="1" ref="A138" ca="1">INDIRECT("A"&amp;ROW()-1)+1</f>
        <v>70</v>
      </c>
      <c r="B138" s="3">
        <f t="shared" ca="1" si="15"/>
        <v>70</v>
      </c>
      <c r="C138" s="3" t="str">
        <f ca="1">A117&amp;"any['CIEuv']"</f>
        <v>65any['CIEuv']</v>
      </c>
      <c r="D138" s="4" t="s">
        <v>286</v>
      </c>
      <c r="E138" s="21" t="s">
        <v>154</v>
      </c>
      <c r="F138" s="46" t="s">
        <v>132</v>
      </c>
      <c r="H138" s="9" t="s">
        <v>136</v>
      </c>
      <c r="I138" s="9"/>
      <c r="J138" s="16">
        <f>J117</f>
        <v>4</v>
      </c>
      <c r="K138" s="42" t="s">
        <v>429</v>
      </c>
      <c r="M138" s="4" t="s">
        <v>470</v>
      </c>
      <c r="N138" s="16">
        <f ca="1">A87</f>
        <v>48</v>
      </c>
      <c r="O138" s="8">
        <f ca="1">A88</f>
        <v>49</v>
      </c>
      <c r="P138" s="22"/>
      <c r="Q138" s="79" t="s">
        <v>944</v>
      </c>
      <c r="R138" s="78" t="s">
        <v>935</v>
      </c>
    </row>
    <row r="139" spans="1:18">
      <c r="A139" s="3" cm="1">
        <f t="array" aca="1" ref="A139" ca="1">INDIRECT("A"&amp;ROW()-1)+1</f>
        <v>71</v>
      </c>
      <c r="B139" s="3">
        <f t="shared" ca="1" si="15"/>
        <v>71</v>
      </c>
      <c r="C139" s="3" t="str">
        <f ca="1">A117&amp;"any['光谱峰值比']"</f>
        <v>65any['光谱峰值比']</v>
      </c>
      <c r="D139" s="4" t="s">
        <v>346</v>
      </c>
      <c r="E139" s="25" t="s">
        <v>153</v>
      </c>
      <c r="F139" s="46" t="s">
        <v>132</v>
      </c>
      <c r="H139" s="9" t="s">
        <v>136</v>
      </c>
      <c r="I139" s="9"/>
      <c r="J139" s="16">
        <f>J117</f>
        <v>4</v>
      </c>
      <c r="K139" s="42" t="s">
        <v>429</v>
      </c>
      <c r="M139" s="4" t="s">
        <v>462</v>
      </c>
      <c r="N139" s="16">
        <f ca="1">A87</f>
        <v>48</v>
      </c>
      <c r="O139" s="8">
        <f ca="1">A88</f>
        <v>49</v>
      </c>
      <c r="P139" s="22" t="s">
        <v>156</v>
      </c>
      <c r="Q139" s="79" t="s">
        <v>945</v>
      </c>
      <c r="R139" s="78" t="s">
        <v>935</v>
      </c>
    </row>
    <row r="140" spans="1:18">
      <c r="A140" s="3" cm="1">
        <f t="array" aca="1" ref="A140" ca="1">INDIRECT("A"&amp;ROW()-1)+1</f>
        <v>72</v>
      </c>
      <c r="B140" s="3">
        <f t="shared" ca="1" si="15"/>
        <v>72</v>
      </c>
      <c r="C140" s="3" t="str">
        <f ca="1">A117&amp;"any['光通量']"</f>
        <v>65any['光通量']</v>
      </c>
      <c r="D140" s="4" t="s">
        <v>269</v>
      </c>
      <c r="E140" s="25" t="s">
        <v>153</v>
      </c>
      <c r="F140" s="46" t="s">
        <v>132</v>
      </c>
      <c r="H140" s="9" t="s">
        <v>136</v>
      </c>
      <c r="I140" s="9"/>
      <c r="J140" s="16">
        <f>J117</f>
        <v>4</v>
      </c>
      <c r="K140" s="42" t="s">
        <v>429</v>
      </c>
      <c r="M140" s="4" t="s">
        <v>455</v>
      </c>
      <c r="N140" s="16">
        <f ca="1">A87</f>
        <v>48</v>
      </c>
      <c r="O140" s="8">
        <f ca="1">A88</f>
        <v>49</v>
      </c>
      <c r="P140" s="22" t="s">
        <v>156</v>
      </c>
      <c r="Q140" s="79" t="s">
        <v>938</v>
      </c>
      <c r="R140" s="5" t="s">
        <v>958</v>
      </c>
    </row>
    <row r="141" spans="1:18">
      <c r="A141" s="3" cm="1">
        <f t="array" aca="1" ref="A141" ca="1">INDIRECT("A"&amp;ROW()-1)+1</f>
        <v>73</v>
      </c>
      <c r="B141" s="3">
        <f t="shared" ca="1" si="15"/>
        <v>73</v>
      </c>
      <c r="C141" s="3" t="str">
        <f ca="1">A117&amp;"any['光功率']"</f>
        <v>65any['光功率']</v>
      </c>
      <c r="D141" s="4" t="s">
        <v>270</v>
      </c>
      <c r="E141" s="25" t="s">
        <v>153</v>
      </c>
      <c r="F141" s="46" t="s">
        <v>132</v>
      </c>
      <c r="H141" s="9" t="s">
        <v>136</v>
      </c>
      <c r="I141" s="9"/>
      <c r="J141" s="16">
        <f>J117</f>
        <v>4</v>
      </c>
      <c r="K141" s="42" t="s">
        <v>429</v>
      </c>
      <c r="M141" s="4" t="s">
        <v>456</v>
      </c>
      <c r="N141" s="16">
        <f ca="1">A87</f>
        <v>48</v>
      </c>
      <c r="O141" s="8">
        <f ca="1">A88</f>
        <v>49</v>
      </c>
      <c r="P141" s="22" t="s">
        <v>156</v>
      </c>
      <c r="Q141" s="79" t="s">
        <v>938</v>
      </c>
      <c r="R141" s="5" t="s">
        <v>959</v>
      </c>
    </row>
    <row r="142" spans="1:18" ht="31.2">
      <c r="A142" s="3" cm="1">
        <f t="array" aca="1" ref="A142" ca="1">INDIRECT("A"&amp;ROW()-1)+1</f>
        <v>74</v>
      </c>
      <c r="B142" s="3">
        <f t="shared" ca="1" si="15"/>
        <v>74</v>
      </c>
      <c r="C142" s="3" t="str">
        <f ca="1">A117&amp;"any['照度']"</f>
        <v>65any['照度']</v>
      </c>
      <c r="D142" s="4" t="s">
        <v>271</v>
      </c>
      <c r="E142" s="25" t="s">
        <v>153</v>
      </c>
      <c r="F142" s="46" t="s">
        <v>132</v>
      </c>
      <c r="H142" s="9" t="s">
        <v>136</v>
      </c>
      <c r="I142" s="9"/>
      <c r="J142" s="16">
        <f>J117</f>
        <v>4</v>
      </c>
      <c r="K142" s="42" t="s">
        <v>429</v>
      </c>
      <c r="M142" s="4" t="s">
        <v>668</v>
      </c>
      <c r="N142" s="16">
        <f ca="1">A87</f>
        <v>48</v>
      </c>
      <c r="O142" s="8">
        <f ca="1">A88</f>
        <v>49</v>
      </c>
      <c r="P142" s="22"/>
      <c r="Q142" s="79" t="s">
        <v>939</v>
      </c>
      <c r="R142" s="78" t="s">
        <v>969</v>
      </c>
    </row>
    <row r="143" spans="1:18" ht="31.2">
      <c r="A143" s="3" cm="1">
        <f t="array" aca="1" ref="A143" ca="1">INDIRECT("A"&amp;ROW()-1)+1</f>
        <v>75</v>
      </c>
      <c r="B143" s="3">
        <f t="shared" ca="1" si="15"/>
        <v>75</v>
      </c>
      <c r="C143" s="3" t="str">
        <f ca="1">A117&amp;"any['辐照度']"</f>
        <v>65any['辐照度']</v>
      </c>
      <c r="D143" s="4" t="s">
        <v>272</v>
      </c>
      <c r="E143" s="25" t="s">
        <v>153</v>
      </c>
      <c r="F143" s="46" t="s">
        <v>132</v>
      </c>
      <c r="H143" s="9" t="s">
        <v>136</v>
      </c>
      <c r="I143" s="9"/>
      <c r="J143" s="16">
        <f>J117</f>
        <v>4</v>
      </c>
      <c r="K143" s="42" t="s">
        <v>429</v>
      </c>
      <c r="M143" s="4" t="s">
        <v>669</v>
      </c>
      <c r="N143" s="16">
        <f ca="1">A87</f>
        <v>48</v>
      </c>
      <c r="O143" s="8">
        <f ca="1">A88</f>
        <v>49</v>
      </c>
      <c r="P143" s="22"/>
      <c r="Q143" s="79" t="s">
        <v>939</v>
      </c>
      <c r="R143" s="78" t="s">
        <v>970</v>
      </c>
    </row>
    <row r="144" spans="1:18" ht="31.2">
      <c r="A144" s="3" cm="1">
        <f t="array" aca="1" ref="A144" ca="1">INDIRECT("A"&amp;ROW()-1)+1</f>
        <v>76</v>
      </c>
      <c r="B144" s="3">
        <f t="shared" ca="1" si="15"/>
        <v>76</v>
      </c>
      <c r="C144" s="3" t="str">
        <f ca="1">A120&amp;"any['亮度']"</f>
        <v>65any['亮度']</v>
      </c>
      <c r="D144" s="4" t="s">
        <v>277</v>
      </c>
      <c r="E144" s="25" t="s">
        <v>153</v>
      </c>
      <c r="F144" s="46" t="s">
        <v>132</v>
      </c>
      <c r="H144" s="9" t="s">
        <v>136</v>
      </c>
      <c r="I144" s="9"/>
      <c r="J144" s="16">
        <f>J117</f>
        <v>4</v>
      </c>
      <c r="K144" s="42" t="s">
        <v>429</v>
      </c>
      <c r="M144" s="4" t="s">
        <v>670</v>
      </c>
      <c r="N144" s="16">
        <f ca="1">A87</f>
        <v>48</v>
      </c>
      <c r="O144" s="8">
        <f ca="1">A88</f>
        <v>49</v>
      </c>
      <c r="P144" s="22"/>
      <c r="Q144" s="79" t="s">
        <v>939</v>
      </c>
      <c r="R144" s="78" t="s">
        <v>971</v>
      </c>
    </row>
    <row r="145" spans="1:18" ht="31.2">
      <c r="A145" s="3" cm="1">
        <f t="array" aca="1" ref="A145" ca="1">INDIRECT("A"&amp;ROW()-1)+1</f>
        <v>77</v>
      </c>
      <c r="B145" s="3">
        <f t="shared" ca="1" si="15"/>
        <v>77</v>
      </c>
      <c r="C145" s="3" t="str">
        <f ca="1">A117&amp;"any['光斑尺寸']"</f>
        <v>65any['光斑尺寸']</v>
      </c>
      <c r="D145" s="4" t="s">
        <v>273</v>
      </c>
      <c r="E145" s="25" t="s">
        <v>153</v>
      </c>
      <c r="F145" s="46" t="s">
        <v>132</v>
      </c>
      <c r="H145" s="9" t="s">
        <v>136</v>
      </c>
      <c r="I145" s="9"/>
      <c r="J145" s="16">
        <f>J117</f>
        <v>4</v>
      </c>
      <c r="K145" s="42" t="s">
        <v>429</v>
      </c>
      <c r="M145" s="4" t="s">
        <v>671</v>
      </c>
      <c r="N145" s="16">
        <f ca="1">A87</f>
        <v>48</v>
      </c>
      <c r="O145" s="8">
        <f ca="1">A88</f>
        <v>49</v>
      </c>
      <c r="P145" s="22"/>
      <c r="Q145" s="79" t="s">
        <v>939</v>
      </c>
      <c r="R145" s="5" t="s">
        <v>956</v>
      </c>
    </row>
    <row r="146" spans="1:18" ht="62.4">
      <c r="A146" s="3" cm="1">
        <f t="array" aca="1" ref="A146" ca="1">INDIRECT("A"&amp;ROW()-1)+1</f>
        <v>78</v>
      </c>
      <c r="B146" s="3">
        <f t="shared" ca="1" si="15"/>
        <v>78</v>
      </c>
      <c r="C146" s="3" t="str">
        <f ca="1">A117&amp;"any['光斑均匀性']"</f>
        <v>65any['光斑均匀性']</v>
      </c>
      <c r="D146" s="4" t="s">
        <v>274</v>
      </c>
      <c r="E146" s="21" t="s">
        <v>193</v>
      </c>
      <c r="F146" s="46" t="s">
        <v>132</v>
      </c>
      <c r="H146" s="9" t="s">
        <v>136</v>
      </c>
      <c r="I146" s="9"/>
      <c r="J146" s="16">
        <f>J117</f>
        <v>4</v>
      </c>
      <c r="K146" s="42" t="s">
        <v>429</v>
      </c>
      <c r="M146" s="4" t="s">
        <v>672</v>
      </c>
      <c r="N146" s="16">
        <f ca="1">A87</f>
        <v>48</v>
      </c>
      <c r="O146" s="8">
        <f ca="1">A88</f>
        <v>49</v>
      </c>
      <c r="P146" s="22"/>
      <c r="Q146" s="69" t="s">
        <v>673</v>
      </c>
    </row>
    <row r="147" spans="1:18">
      <c r="A147" s="3" cm="1">
        <f t="array" aca="1" ref="A147" ca="1">INDIRECT("A"&amp;ROW()-1)+1</f>
        <v>79</v>
      </c>
      <c r="B147" s="3">
        <f t="shared" ca="1" si="15"/>
        <v>79</v>
      </c>
      <c r="C147" s="3" t="str">
        <f ca="1">A117&amp;"any['光强']"</f>
        <v>65any['光强']</v>
      </c>
      <c r="D147" s="4" t="s">
        <v>275</v>
      </c>
      <c r="E147" s="25" t="s">
        <v>153</v>
      </c>
      <c r="F147" s="46" t="s">
        <v>132</v>
      </c>
      <c r="H147" s="9" t="s">
        <v>136</v>
      </c>
      <c r="I147" s="9"/>
      <c r="J147" s="16">
        <f>J117</f>
        <v>4</v>
      </c>
      <c r="K147" s="42" t="s">
        <v>429</v>
      </c>
      <c r="M147" s="4" t="s">
        <v>457</v>
      </c>
      <c r="N147" s="16">
        <f ca="1">A87</f>
        <v>48</v>
      </c>
      <c r="O147" s="8">
        <f ca="1">A88</f>
        <v>49</v>
      </c>
      <c r="P147" s="22" t="s">
        <v>156</v>
      </c>
      <c r="Q147" s="79" t="s">
        <v>938</v>
      </c>
      <c r="R147" s="5" t="s">
        <v>960</v>
      </c>
    </row>
    <row r="148" spans="1:18">
      <c r="A148" s="3" cm="1">
        <f t="array" aca="1" ref="A148" ca="1">INDIRECT("A"&amp;ROW()-1)+1</f>
        <v>80</v>
      </c>
      <c r="B148" s="3">
        <f t="shared" ca="1" si="15"/>
        <v>80</v>
      </c>
      <c r="C148" s="3" t="str">
        <f ca="1">A117&amp;"any['辐射强度']"</f>
        <v>65any['辐射强度']</v>
      </c>
      <c r="D148" s="4" t="s">
        <v>276</v>
      </c>
      <c r="E148" s="25" t="s">
        <v>153</v>
      </c>
      <c r="F148" s="46" t="s">
        <v>132</v>
      </c>
      <c r="H148" s="9" t="s">
        <v>136</v>
      </c>
      <c r="I148" s="9"/>
      <c r="J148" s="16">
        <f>J117</f>
        <v>4</v>
      </c>
      <c r="K148" s="42" t="s">
        <v>429</v>
      </c>
      <c r="M148" s="4" t="s">
        <v>458</v>
      </c>
      <c r="N148" s="16">
        <f ca="1">A87</f>
        <v>48</v>
      </c>
      <c r="O148" s="8">
        <f ca="1">A88</f>
        <v>49</v>
      </c>
      <c r="P148" s="22" t="s">
        <v>156</v>
      </c>
      <c r="Q148" s="79" t="s">
        <v>938</v>
      </c>
      <c r="R148" s="5" t="s">
        <v>961</v>
      </c>
    </row>
    <row r="149" spans="1:18" ht="31.2">
      <c r="A149" s="3" cm="1">
        <f t="array" aca="1" ref="A149" ca="1">INDIRECT("A"&amp;ROW()-1)+1</f>
        <v>81</v>
      </c>
      <c r="B149" s="3">
        <f t="shared" ca="1" si="15"/>
        <v>81</v>
      </c>
      <c r="C149" s="3" t="str">
        <f ca="1">A117&amp;"any['光束全角']"</f>
        <v>65any['光束全角']</v>
      </c>
      <c r="D149" s="4" t="s">
        <v>278</v>
      </c>
      <c r="E149" s="25" t="s">
        <v>153</v>
      </c>
      <c r="F149" s="46" t="s">
        <v>132</v>
      </c>
      <c r="H149" s="9" t="s">
        <v>136</v>
      </c>
      <c r="I149" s="9"/>
      <c r="J149" s="16">
        <f>J117</f>
        <v>4</v>
      </c>
      <c r="K149" s="42" t="s">
        <v>429</v>
      </c>
      <c r="M149" s="4" t="s">
        <v>459</v>
      </c>
      <c r="N149" s="16">
        <f ca="1">A87</f>
        <v>48</v>
      </c>
      <c r="O149" s="8">
        <f ca="1">A88</f>
        <v>49</v>
      </c>
      <c r="P149" s="22" t="s">
        <v>156</v>
      </c>
      <c r="Q149" s="79" t="s">
        <v>940</v>
      </c>
      <c r="R149" s="5" t="s">
        <v>962</v>
      </c>
    </row>
    <row r="150" spans="1:18" ht="31.2">
      <c r="A150" s="3" cm="1">
        <f t="array" aca="1" ref="A150" ca="1">INDIRECT("A"&amp;ROW()-1)+1</f>
        <v>82</v>
      </c>
      <c r="B150" s="3">
        <f t="shared" ca="1" si="15"/>
        <v>82</v>
      </c>
      <c r="C150" s="3" t="str">
        <f ca="1">A117&amp;"any['视场全角']"</f>
        <v>65any['视场全角']</v>
      </c>
      <c r="D150" s="4" t="s">
        <v>279</v>
      </c>
      <c r="E150" s="25" t="s">
        <v>153</v>
      </c>
      <c r="F150" s="46" t="s">
        <v>132</v>
      </c>
      <c r="H150" s="9" t="s">
        <v>136</v>
      </c>
      <c r="I150" s="9"/>
      <c r="J150" s="16">
        <f>J117</f>
        <v>4</v>
      </c>
      <c r="K150" s="42" t="s">
        <v>429</v>
      </c>
      <c r="M150" s="4" t="s">
        <v>460</v>
      </c>
      <c r="N150" s="16">
        <f ca="1">A87</f>
        <v>48</v>
      </c>
      <c r="O150" s="8">
        <f ca="1">A88</f>
        <v>49</v>
      </c>
      <c r="P150" s="22" t="s">
        <v>156</v>
      </c>
      <c r="Q150" s="79" t="s">
        <v>941</v>
      </c>
      <c r="R150" s="5" t="s">
        <v>962</v>
      </c>
    </row>
    <row r="151" spans="1:18">
      <c r="A151" s="3" cm="1">
        <f t="array" aca="1" ref="A151" ca="1">INDIRECT("A"&amp;ROW()-1)+1</f>
        <v>83</v>
      </c>
      <c r="B151" s="3">
        <f t="shared" ca="1" si="15"/>
        <v>83</v>
      </c>
      <c r="C151" s="3" t="str">
        <f ca="1">A83&amp;"==True"</f>
        <v>46==True</v>
      </c>
      <c r="D151" s="4" t="s">
        <v>674</v>
      </c>
      <c r="E151" s="5" t="s">
        <v>5</v>
      </c>
      <c r="F151" s="56" t="s">
        <v>141</v>
      </c>
      <c r="G151" s="5" t="s">
        <v>1</v>
      </c>
      <c r="H151" s="7" t="b">
        <v>1</v>
      </c>
      <c r="I151" s="52" t="s">
        <v>507</v>
      </c>
      <c r="J151" s="43">
        <v>5</v>
      </c>
      <c r="K151" s="42" t="s">
        <v>424</v>
      </c>
      <c r="L151" s="51"/>
      <c r="M151" s="51" t="s">
        <v>506</v>
      </c>
      <c r="Q151" s="36" t="s">
        <v>353</v>
      </c>
    </row>
    <row r="152" spans="1:18">
      <c r="A152" s="3" cm="1">
        <f t="array" aca="1" ref="A152" ca="1">INDIRECT("A"&amp;ROW()-1)</f>
        <v>83</v>
      </c>
      <c r="B152" s="3" t="str">
        <f t="shared" ca="1" si="15"/>
        <v/>
      </c>
      <c r="F152" s="55" t="str">
        <f>F151</f>
        <v>FALSE</v>
      </c>
      <c r="G152" s="5" t="s">
        <v>2</v>
      </c>
      <c r="H152" s="7" t="b">
        <v>0</v>
      </c>
      <c r="I152" s="52" t="s">
        <v>316</v>
      </c>
      <c r="J152" s="43"/>
      <c r="K152" s="43"/>
    </row>
    <row r="153" spans="1:18">
      <c r="A153" s="3" cm="1">
        <f t="array" aca="1" ref="A153" ca="1">INDIRECT("A"&amp;ROW()-1)+1</f>
        <v>84</v>
      </c>
      <c r="B153" s="3">
        <f t="shared" ca="1" si="15"/>
        <v>84</v>
      </c>
      <c r="C153" s="3" t="str">
        <f ca="1">A151&amp;"==True"</f>
        <v>83==True</v>
      </c>
      <c r="D153" s="4" t="s">
        <v>677</v>
      </c>
      <c r="E153" s="5" t="s">
        <v>5</v>
      </c>
      <c r="F153" s="56" t="s">
        <v>141</v>
      </c>
      <c r="G153" s="68" t="s">
        <v>675</v>
      </c>
      <c r="H153" s="68" t="s">
        <v>678</v>
      </c>
      <c r="I153" s="68" t="s">
        <v>675</v>
      </c>
      <c r="J153" s="43">
        <f>J151</f>
        <v>5</v>
      </c>
      <c r="K153" s="42" t="s">
        <v>424</v>
      </c>
      <c r="L153" s="51"/>
      <c r="M153" s="70" t="s">
        <v>680</v>
      </c>
      <c r="Q153" s="69" t="s">
        <v>682</v>
      </c>
    </row>
    <row r="154" spans="1:18">
      <c r="A154" s="3" cm="1">
        <f t="array" aca="1" ref="A154" ca="1">INDIRECT("A"&amp;ROW()-1)</f>
        <v>84</v>
      </c>
      <c r="B154" s="3" t="str">
        <f t="shared" ca="1" si="15"/>
        <v/>
      </c>
      <c r="F154" s="55" t="str">
        <f>F153</f>
        <v>FALSE</v>
      </c>
      <c r="G154" s="68" t="s">
        <v>676</v>
      </c>
      <c r="H154" s="68" t="s">
        <v>679</v>
      </c>
      <c r="I154" s="68" t="s">
        <v>676</v>
      </c>
      <c r="J154" s="43"/>
      <c r="K154" s="43"/>
      <c r="M154" s="70" t="s">
        <v>681</v>
      </c>
    </row>
    <row r="155" spans="1:18">
      <c r="A155" s="3" cm="1">
        <f t="array" aca="1" ref="A155" ca="1">INDIRECT("A"&amp;ROW()-1)+1</f>
        <v>85</v>
      </c>
      <c r="B155" s="3">
        <f t="shared" ca="1" si="15"/>
        <v>85</v>
      </c>
      <c r="C155" s="3" t="str">
        <f ca="1">A151&amp;"==True"</f>
        <v>83==True</v>
      </c>
      <c r="D155" s="4" t="s">
        <v>128</v>
      </c>
      <c r="E155" s="5" t="s">
        <v>6</v>
      </c>
      <c r="F155" s="56" t="s">
        <v>141</v>
      </c>
      <c r="G155" s="5" t="s">
        <v>84</v>
      </c>
      <c r="H155" s="18" t="s">
        <v>84</v>
      </c>
      <c r="I155" s="18" t="s">
        <v>84</v>
      </c>
      <c r="J155" s="47">
        <f>J151</f>
        <v>5</v>
      </c>
      <c r="K155" s="42" t="s">
        <v>429</v>
      </c>
      <c r="L155" s="51"/>
      <c r="M155" s="49" t="s">
        <v>444</v>
      </c>
      <c r="Q155" s="19" t="s">
        <v>195</v>
      </c>
    </row>
    <row r="156" spans="1:18">
      <c r="A156" s="3" cm="1">
        <f t="array" aca="1" ref="A156" ca="1">INDIRECT("A"&amp;ROW()-1)</f>
        <v>85</v>
      </c>
      <c r="B156" s="3" t="str">
        <f t="shared" ca="1" si="15"/>
        <v/>
      </c>
      <c r="F156" s="55" t="str">
        <f t="shared" ref="F156:F160" si="16">F155</f>
        <v>FALSE</v>
      </c>
      <c r="G156" s="5" t="s">
        <v>85</v>
      </c>
      <c r="H156" s="18" t="s">
        <v>85</v>
      </c>
      <c r="I156" s="18" t="s">
        <v>85</v>
      </c>
      <c r="J156" s="47"/>
      <c r="K156" s="47"/>
      <c r="L156" s="51"/>
    </row>
    <row r="157" spans="1:18">
      <c r="A157" s="3" cm="1">
        <f t="array" aca="1" ref="A157" ca="1">INDIRECT("A"&amp;ROW()-1)</f>
        <v>85</v>
      </c>
      <c r="B157" s="3" t="str">
        <f t="shared" ca="1" si="15"/>
        <v/>
      </c>
      <c r="F157" s="55" t="str">
        <f t="shared" si="16"/>
        <v>FALSE</v>
      </c>
      <c r="G157" s="5" t="s">
        <v>86</v>
      </c>
      <c r="H157" s="18" t="s">
        <v>86</v>
      </c>
      <c r="I157" s="18" t="s">
        <v>86</v>
      </c>
      <c r="J157" s="47"/>
      <c r="K157" s="47"/>
      <c r="L157" s="51"/>
    </row>
    <row r="158" spans="1:18">
      <c r="A158" s="3" cm="1">
        <f t="array" aca="1" ref="A158" ca="1">INDIRECT("A"&amp;ROW()-1)</f>
        <v>85</v>
      </c>
      <c r="B158" s="3" t="str">
        <f t="shared" ca="1" si="15"/>
        <v/>
      </c>
      <c r="F158" s="55" t="str">
        <f t="shared" si="16"/>
        <v>FALSE</v>
      </c>
      <c r="G158" s="5" t="s">
        <v>87</v>
      </c>
      <c r="H158" s="18" t="s">
        <v>87</v>
      </c>
      <c r="I158" s="18" t="s">
        <v>87</v>
      </c>
      <c r="J158" s="47"/>
      <c r="K158" s="47"/>
      <c r="L158" s="51"/>
      <c r="P158" s="18"/>
    </row>
    <row r="159" spans="1:18">
      <c r="A159" s="3" cm="1">
        <f t="array" aca="1" ref="A159" ca="1">INDIRECT("A"&amp;ROW()-1)</f>
        <v>85</v>
      </c>
      <c r="B159" s="3" t="str">
        <f t="shared" ca="1" si="15"/>
        <v/>
      </c>
      <c r="F159" s="55" t="str">
        <f t="shared" si="16"/>
        <v>FALSE</v>
      </c>
      <c r="G159" s="5" t="s">
        <v>88</v>
      </c>
      <c r="H159" s="18" t="s">
        <v>88</v>
      </c>
      <c r="I159" s="18" t="s">
        <v>88</v>
      </c>
      <c r="J159" s="47"/>
      <c r="K159" s="47"/>
      <c r="L159" s="51"/>
    </row>
    <row r="160" spans="1:18">
      <c r="A160" s="3" cm="1">
        <f t="array" aca="1" ref="A160" ca="1">INDIRECT("A"&amp;ROW()-1)</f>
        <v>85</v>
      </c>
      <c r="B160" s="3" t="str">
        <f t="shared" ca="1" si="15"/>
        <v/>
      </c>
      <c r="F160" s="55" t="str">
        <f t="shared" si="16"/>
        <v>FALSE</v>
      </c>
      <c r="G160" s="49" t="s">
        <v>443</v>
      </c>
      <c r="H160" s="41" t="s">
        <v>443</v>
      </c>
      <c r="I160" s="41" t="s">
        <v>443</v>
      </c>
      <c r="J160" s="47"/>
      <c r="K160" s="47"/>
    </row>
    <row r="161" spans="1:18">
      <c r="A161" s="3" cm="1">
        <f t="array" aca="1" ref="A161" ca="1">INDIRECT("A"&amp;ROW()-1)+1</f>
        <v>86</v>
      </c>
      <c r="B161" s="3">
        <f t="shared" ca="1" si="15"/>
        <v>86</v>
      </c>
      <c r="C161" s="3" t="str">
        <f ca="1">A155&amp;"any['红绿辐通量比']"</f>
        <v>85any['红绿辐通量比']</v>
      </c>
      <c r="D161" s="4" t="s">
        <v>287</v>
      </c>
      <c r="E161" s="24" t="s">
        <v>153</v>
      </c>
      <c r="F161" s="56" t="s">
        <v>141</v>
      </c>
      <c r="H161" s="15" t="s">
        <v>136</v>
      </c>
      <c r="I161" s="15"/>
      <c r="J161" s="44">
        <f>J155</f>
        <v>5</v>
      </c>
      <c r="K161" s="42" t="s">
        <v>429</v>
      </c>
      <c r="M161" s="4" t="s">
        <v>463</v>
      </c>
      <c r="N161" s="16">
        <f ca="1">A87</f>
        <v>48</v>
      </c>
      <c r="O161" s="8">
        <f ca="1">A88</f>
        <v>49</v>
      </c>
      <c r="P161" s="22" t="s">
        <v>156</v>
      </c>
      <c r="Q161" s="79" t="s">
        <v>946</v>
      </c>
    </row>
    <row r="162" spans="1:18">
      <c r="A162" s="3" cm="1">
        <f t="array" aca="1" ref="A162" ca="1">INDIRECT("A"&amp;ROW()-1)+1</f>
        <v>87</v>
      </c>
      <c r="B162" s="3">
        <f t="shared" ca="1" si="15"/>
        <v>87</v>
      </c>
      <c r="C162" s="3" t="str">
        <f ca="1">A155&amp;"any['蓝绿辐通量比']"</f>
        <v>85any['蓝绿辐通量比']</v>
      </c>
      <c r="D162" s="4" t="s">
        <v>288</v>
      </c>
      <c r="E162" s="25" t="s">
        <v>153</v>
      </c>
      <c r="F162" s="56" t="s">
        <v>141</v>
      </c>
      <c r="H162" s="9" t="s">
        <v>136</v>
      </c>
      <c r="I162" s="9"/>
      <c r="J162" s="16">
        <f>J155</f>
        <v>5</v>
      </c>
      <c r="K162" s="42" t="s">
        <v>429</v>
      </c>
      <c r="M162" s="4" t="s">
        <v>464</v>
      </c>
      <c r="N162" s="16">
        <f ca="1">A87</f>
        <v>48</v>
      </c>
      <c r="O162" s="8">
        <f ca="1">A88</f>
        <v>49</v>
      </c>
      <c r="P162" s="22" t="s">
        <v>156</v>
      </c>
      <c r="Q162" s="79" t="s">
        <v>946</v>
      </c>
    </row>
    <row r="163" spans="1:18">
      <c r="A163" s="3" cm="1">
        <f t="array" aca="1" ref="A163" ca="1">INDIRECT("A"&amp;ROW()-1)+1</f>
        <v>88</v>
      </c>
      <c r="B163" s="3">
        <f t="shared" ca="1" si="15"/>
        <v>88</v>
      </c>
      <c r="C163" s="3" t="str">
        <f ca="1">A155&amp;"any['红外截止性能']"</f>
        <v>85any['红外截止性能']</v>
      </c>
      <c r="D163" s="4" t="s">
        <v>289</v>
      </c>
      <c r="E163" s="25" t="s">
        <v>153</v>
      </c>
      <c r="F163" s="56" t="s">
        <v>141</v>
      </c>
      <c r="H163" s="9" t="s">
        <v>136</v>
      </c>
      <c r="I163" s="9"/>
      <c r="J163" s="16">
        <f>J155</f>
        <v>5</v>
      </c>
      <c r="K163" s="42" t="s">
        <v>429</v>
      </c>
      <c r="M163" s="4" t="s">
        <v>466</v>
      </c>
      <c r="N163" s="16">
        <f ca="1">A87</f>
        <v>48</v>
      </c>
      <c r="O163" s="8">
        <f ca="1">A88</f>
        <v>49</v>
      </c>
      <c r="P163" s="20" t="s">
        <v>159</v>
      </c>
      <c r="Q163" s="79" t="s">
        <v>947</v>
      </c>
      <c r="R163" s="78" t="s">
        <v>964</v>
      </c>
    </row>
    <row r="164" spans="1:18">
      <c r="A164" s="3" cm="1">
        <f t="array" aca="1" ref="A164" ca="1">INDIRECT("A"&amp;ROW()-1)+1</f>
        <v>89</v>
      </c>
      <c r="B164" s="3">
        <f t="shared" ca="1" si="15"/>
        <v>89</v>
      </c>
      <c r="C164" s="3" t="str">
        <f ca="1">A155&amp;"any['光照均匀性']"</f>
        <v>85any['光照均匀性']</v>
      </c>
      <c r="D164" s="4" t="s">
        <v>290</v>
      </c>
      <c r="E164" s="25" t="s">
        <v>153</v>
      </c>
      <c r="F164" s="56" t="s">
        <v>141</v>
      </c>
      <c r="H164" s="9" t="s">
        <v>136</v>
      </c>
      <c r="I164" s="9"/>
      <c r="J164" s="16">
        <f>J155</f>
        <v>5</v>
      </c>
      <c r="K164" s="42" t="s">
        <v>429</v>
      </c>
      <c r="M164" s="4" t="s">
        <v>467</v>
      </c>
      <c r="N164" s="16">
        <f ca="1">A87</f>
        <v>48</v>
      </c>
      <c r="O164" s="8">
        <f ca="1">A88</f>
        <v>49</v>
      </c>
      <c r="P164" s="22" t="s">
        <v>159</v>
      </c>
      <c r="Q164" s="79" t="s">
        <v>948</v>
      </c>
    </row>
    <row r="165" spans="1:18">
      <c r="A165" s="3" cm="1">
        <f t="array" aca="1" ref="A165" ca="1">INDIRECT("A"&amp;ROW()-1)+1</f>
        <v>90</v>
      </c>
      <c r="B165" s="3">
        <f t="shared" ca="1" si="15"/>
        <v>90</v>
      </c>
      <c r="C165" s="3" t="str">
        <f ca="1">A155&amp;"any['照度超限点']"</f>
        <v>85any['照度超限点']</v>
      </c>
      <c r="D165" s="4" t="s">
        <v>291</v>
      </c>
      <c r="E165" s="25" t="s">
        <v>153</v>
      </c>
      <c r="F165" s="56" t="s">
        <v>141</v>
      </c>
      <c r="H165" s="9" t="s">
        <v>136</v>
      </c>
      <c r="I165" s="9"/>
      <c r="J165" s="16">
        <f>J155</f>
        <v>5</v>
      </c>
      <c r="K165" s="42" t="s">
        <v>429</v>
      </c>
      <c r="M165" s="4" t="s">
        <v>468</v>
      </c>
      <c r="N165" s="16">
        <f ca="1">A87</f>
        <v>48</v>
      </c>
      <c r="O165" s="8">
        <f ca="1">A88</f>
        <v>49</v>
      </c>
      <c r="P165" s="22" t="s">
        <v>159</v>
      </c>
      <c r="Q165" s="79" t="s">
        <v>949</v>
      </c>
    </row>
    <row r="166" spans="1:18" ht="31.2">
      <c r="A166" s="3" cm="1">
        <f t="array" aca="1" ref="A166" ca="1">INDIRECT("A"&amp;ROW()-1)+1</f>
        <v>91</v>
      </c>
      <c r="B166" s="3">
        <f t="shared" ca="1" si="15"/>
        <v>91</v>
      </c>
      <c r="C166" s="3" t="str">
        <f ca="1">A151&amp;"==True"</f>
        <v>83==True</v>
      </c>
      <c r="D166" s="4" t="s">
        <v>597</v>
      </c>
      <c r="E166" s="21" t="s">
        <v>196</v>
      </c>
      <c r="F166" s="45" t="s">
        <v>197</v>
      </c>
      <c r="G166" s="21" t="s">
        <v>198</v>
      </c>
      <c r="H166" s="21" t="s">
        <v>201</v>
      </c>
      <c r="I166" s="35" t="s">
        <v>67</v>
      </c>
      <c r="J166" s="43">
        <f>J151</f>
        <v>5</v>
      </c>
      <c r="K166" s="42" t="s">
        <v>424</v>
      </c>
      <c r="L166" s="51"/>
      <c r="M166" s="50" t="s">
        <v>445</v>
      </c>
      <c r="N166" s="16"/>
      <c r="O166" s="8"/>
      <c r="P166" s="22"/>
      <c r="Q166" s="19" t="s">
        <v>206</v>
      </c>
    </row>
    <row r="167" spans="1:18">
      <c r="A167" s="3" cm="1">
        <f t="array" aca="1" ref="A167" ca="1">INDIRECT("A"&amp;ROW()-1)</f>
        <v>91</v>
      </c>
      <c r="B167" s="3" t="str">
        <f t="shared" ca="1" si="15"/>
        <v/>
      </c>
      <c r="E167" s="25"/>
      <c r="F167" s="55" t="str">
        <f t="shared" ref="F167:F173" si="17">F166</f>
        <v>FALSE</v>
      </c>
      <c r="G167" s="21" t="s">
        <v>199</v>
      </c>
      <c r="H167" s="21" t="s">
        <v>202</v>
      </c>
      <c r="I167" s="35" t="s">
        <v>71</v>
      </c>
      <c r="J167" s="43"/>
      <c r="K167" s="43"/>
      <c r="L167" s="51"/>
      <c r="N167" s="16"/>
      <c r="O167" s="8"/>
      <c r="P167" s="22"/>
      <c r="Q167" s="19"/>
    </row>
    <row r="168" spans="1:18">
      <c r="A168" s="3" cm="1">
        <f t="array" aca="1" ref="A168" ca="1">INDIRECT("A"&amp;ROW()-1)</f>
        <v>91</v>
      </c>
      <c r="B168" s="3" t="str">
        <f t="shared" ca="1" si="15"/>
        <v/>
      </c>
      <c r="E168" s="25"/>
      <c r="F168" s="55" t="str">
        <f t="shared" si="17"/>
        <v>FALSE</v>
      </c>
      <c r="G168" s="21" t="s">
        <v>200</v>
      </c>
      <c r="H168" s="21" t="s">
        <v>203</v>
      </c>
      <c r="I168" s="35" t="s">
        <v>72</v>
      </c>
      <c r="J168" s="43"/>
      <c r="K168" s="43"/>
      <c r="L168" s="51"/>
      <c r="N168" s="16"/>
      <c r="O168" s="8"/>
      <c r="P168" s="22"/>
      <c r="Q168" s="19"/>
    </row>
    <row r="169" spans="1:18">
      <c r="A169" s="3" cm="1">
        <f t="array" aca="1" ref="A169" ca="1">INDIRECT("A"&amp;ROW()-1)</f>
        <v>91</v>
      </c>
      <c r="B169" s="3" t="str">
        <f t="shared" ca="1" si="15"/>
        <v/>
      </c>
      <c r="E169" s="25"/>
      <c r="F169" s="55" t="str">
        <f t="shared" si="17"/>
        <v>FALSE</v>
      </c>
      <c r="G169" s="5" t="s">
        <v>84</v>
      </c>
      <c r="H169" s="21" t="s">
        <v>204</v>
      </c>
      <c r="I169" s="18" t="s">
        <v>84</v>
      </c>
      <c r="J169" s="47"/>
      <c r="K169" s="47"/>
      <c r="L169" s="51"/>
      <c r="N169" s="16"/>
      <c r="O169" s="8"/>
      <c r="P169" s="22"/>
      <c r="Q169" s="19"/>
    </row>
    <row r="170" spans="1:18">
      <c r="A170" s="3" cm="1">
        <f t="array" aca="1" ref="A170" ca="1">INDIRECT("A"&amp;ROW()-1)</f>
        <v>91</v>
      </c>
      <c r="B170" s="3" t="str">
        <f t="shared" ca="1" si="15"/>
        <v/>
      </c>
      <c r="E170" s="25"/>
      <c r="F170" s="55" t="str">
        <f t="shared" si="17"/>
        <v>FALSE</v>
      </c>
      <c r="G170" s="5" t="s">
        <v>85</v>
      </c>
      <c r="H170" s="21" t="s">
        <v>205</v>
      </c>
      <c r="I170" s="18" t="s">
        <v>85</v>
      </c>
      <c r="J170" s="47"/>
      <c r="K170" s="47"/>
      <c r="L170" s="51"/>
      <c r="N170" s="16"/>
      <c r="O170" s="8"/>
      <c r="P170" s="22"/>
      <c r="Q170" s="19"/>
    </row>
    <row r="171" spans="1:18">
      <c r="A171" s="3" cm="1">
        <f t="array" aca="1" ref="A171" ca="1">INDIRECT("A"&amp;ROW()-1)</f>
        <v>91</v>
      </c>
      <c r="B171" s="3" t="str">
        <f t="shared" ca="1" si="15"/>
        <v/>
      </c>
      <c r="E171" s="25"/>
      <c r="F171" s="55" t="str">
        <f t="shared" si="17"/>
        <v>FALSE</v>
      </c>
      <c r="G171" s="50" t="s">
        <v>106</v>
      </c>
      <c r="H171" s="50" t="s">
        <v>106</v>
      </c>
      <c r="I171" s="50" t="s">
        <v>106</v>
      </c>
      <c r="J171" s="47"/>
      <c r="K171" s="47"/>
      <c r="L171" s="51"/>
      <c r="N171" s="16"/>
      <c r="O171" s="8"/>
      <c r="P171" s="22"/>
      <c r="Q171" s="19"/>
    </row>
    <row r="172" spans="1:18">
      <c r="A172" s="3" cm="1">
        <f t="array" aca="1" ref="A172" ca="1">INDIRECT("A"&amp;ROW()-1)+1</f>
        <v>92</v>
      </c>
      <c r="B172" s="3">
        <f t="shared" ca="1" si="15"/>
        <v>92</v>
      </c>
      <c r="C172" s="3" t="str">
        <f>A2&amp;"!=代工"</f>
        <v>1!=代工</v>
      </c>
      <c r="D172" s="4" t="s">
        <v>122</v>
      </c>
      <c r="E172" s="5" t="s">
        <v>5</v>
      </c>
      <c r="F172" s="56" t="s">
        <v>141</v>
      </c>
      <c r="G172" s="5" t="s">
        <v>1</v>
      </c>
      <c r="H172" s="7" t="b">
        <v>1</v>
      </c>
      <c r="I172" s="52" t="s">
        <v>316</v>
      </c>
      <c r="J172" s="43">
        <v>11</v>
      </c>
      <c r="K172" s="42" t="s">
        <v>424</v>
      </c>
      <c r="L172" s="51" t="s">
        <v>581</v>
      </c>
      <c r="M172" s="51"/>
      <c r="Q172" s="36" t="s">
        <v>367</v>
      </c>
    </row>
    <row r="173" spans="1:18">
      <c r="A173" s="3" cm="1">
        <f t="array" aca="1" ref="A173" ca="1">INDIRECT("A"&amp;ROW()-1)</f>
        <v>92</v>
      </c>
      <c r="B173" s="3" t="str">
        <f t="shared" ca="1" si="15"/>
        <v/>
      </c>
      <c r="F173" s="55" t="str">
        <f t="shared" si="17"/>
        <v>FALSE</v>
      </c>
      <c r="G173" s="5" t="s">
        <v>2</v>
      </c>
      <c r="H173" s="7" t="b">
        <v>0</v>
      </c>
      <c r="I173" s="52" t="s">
        <v>509</v>
      </c>
      <c r="J173" s="43"/>
      <c r="K173" s="43"/>
      <c r="M173" s="51" t="s">
        <v>508</v>
      </c>
    </row>
    <row r="174" spans="1:18">
      <c r="A174" s="3" cm="1">
        <f t="array" aca="1" ref="A174" ca="1">INDIRECT("A"&amp;ROW()-1)+1</f>
        <v>93</v>
      </c>
      <c r="B174" s="3">
        <f t="shared" ca="1" si="15"/>
        <v>93</v>
      </c>
      <c r="C174" s="3" t="str">
        <f ca="1">A172&amp;"==True"</f>
        <v>92==True</v>
      </c>
      <c r="D174" s="4" t="s">
        <v>292</v>
      </c>
      <c r="E174" s="24" t="s">
        <v>153</v>
      </c>
      <c r="F174" s="56" t="s">
        <v>141</v>
      </c>
      <c r="H174" s="15" t="s">
        <v>136</v>
      </c>
      <c r="I174" s="15"/>
      <c r="J174" s="44">
        <f>J172</f>
        <v>11</v>
      </c>
      <c r="K174" s="42" t="s">
        <v>424</v>
      </c>
      <c r="L174" s="51"/>
      <c r="M174" s="51" t="s">
        <v>511</v>
      </c>
      <c r="N174" s="16"/>
      <c r="O174" s="8"/>
      <c r="P174" s="22" t="s">
        <v>158</v>
      </c>
      <c r="Q174" s="79" t="s">
        <v>950</v>
      </c>
      <c r="R174" s="78" t="s">
        <v>965</v>
      </c>
    </row>
    <row r="175" spans="1:18">
      <c r="A175" s="3" cm="1">
        <f t="array" aca="1" ref="A175" ca="1">INDIRECT("A"&amp;ROW()-1)+1</f>
        <v>94</v>
      </c>
      <c r="B175" s="3">
        <f t="shared" ca="1" si="15"/>
        <v>94</v>
      </c>
      <c r="C175" s="3" t="str">
        <f>A2&amp;"!=代工"</f>
        <v>1!=代工</v>
      </c>
      <c r="D175" s="4" t="s">
        <v>121</v>
      </c>
      <c r="E175" s="5" t="s">
        <v>5</v>
      </c>
      <c r="F175" s="56" t="s">
        <v>141</v>
      </c>
      <c r="G175" s="5" t="s">
        <v>1</v>
      </c>
      <c r="H175" s="7" t="b">
        <v>1</v>
      </c>
      <c r="I175" s="52" t="s">
        <v>512</v>
      </c>
      <c r="J175" s="43">
        <f>J172</f>
        <v>11</v>
      </c>
      <c r="K175" s="42" t="s">
        <v>424</v>
      </c>
      <c r="L175" s="51" t="s">
        <v>582</v>
      </c>
      <c r="M175" s="51"/>
      <c r="Q175" s="36" t="s">
        <v>367</v>
      </c>
    </row>
    <row r="176" spans="1:18">
      <c r="A176" s="3" cm="1">
        <f t="array" aca="1" ref="A176" ca="1">INDIRECT("A"&amp;ROW()-1)</f>
        <v>94</v>
      </c>
      <c r="B176" s="3" t="str">
        <f t="shared" ca="1" si="15"/>
        <v/>
      </c>
      <c r="F176" s="55" t="str">
        <f t="shared" ref="F176" si="18">F175</f>
        <v>FALSE</v>
      </c>
      <c r="G176" s="5" t="s">
        <v>2</v>
      </c>
      <c r="H176" s="7" t="b">
        <v>0</v>
      </c>
      <c r="I176" s="52" t="s">
        <v>509</v>
      </c>
      <c r="J176" s="43"/>
      <c r="K176" s="43"/>
      <c r="M176" s="51" t="s">
        <v>510</v>
      </c>
    </row>
    <row r="177" spans="1:18">
      <c r="A177" s="3" cm="1">
        <f t="array" aca="1" ref="A177" ca="1">INDIRECT("A"&amp;ROW()-1)+1</f>
        <v>95</v>
      </c>
      <c r="B177" s="3">
        <f t="shared" ca="1" si="15"/>
        <v>95</v>
      </c>
      <c r="C177" s="3" t="str">
        <f ca="1">A175&amp;"==True"</f>
        <v>94==True</v>
      </c>
      <c r="D177" s="4" t="s">
        <v>293</v>
      </c>
      <c r="E177" s="24" t="s">
        <v>153</v>
      </c>
      <c r="F177" s="56" t="s">
        <v>141</v>
      </c>
      <c r="H177" s="15" t="s">
        <v>136</v>
      </c>
      <c r="I177" s="15"/>
      <c r="J177" s="44">
        <f>J175</f>
        <v>11</v>
      </c>
      <c r="K177" s="42" t="s">
        <v>424</v>
      </c>
      <c r="M177" s="50" t="s">
        <v>368</v>
      </c>
      <c r="N177" s="16"/>
      <c r="O177" s="8"/>
      <c r="P177" s="22" t="s">
        <v>158</v>
      </c>
      <c r="Q177" s="19" t="s">
        <v>320</v>
      </c>
      <c r="R177" s="78"/>
    </row>
    <row r="178" spans="1:18" ht="42.6" customHeight="1">
      <c r="A178" s="3" cm="1">
        <f t="array" aca="1" ref="A178" ca="1">INDIRECT("A"&amp;ROW()-1)+1</f>
        <v>96</v>
      </c>
      <c r="B178" s="3">
        <f t="shared" ca="1" si="15"/>
        <v>96</v>
      </c>
      <c r="C178" s="3" t="str">
        <f ca="1">A12&amp;"any['结构'] and "&amp;A12&amp;"any['光源']"</f>
        <v>7any['结构'] and 7any['光源']</v>
      </c>
      <c r="D178" s="4" t="s">
        <v>120</v>
      </c>
      <c r="E178" s="5" t="s">
        <v>5</v>
      </c>
      <c r="F178" s="56" t="s">
        <v>141</v>
      </c>
      <c r="G178" s="5" t="s">
        <v>1</v>
      </c>
      <c r="H178" s="7" t="b">
        <v>1</v>
      </c>
      <c r="I178" s="52" t="s">
        <v>512</v>
      </c>
      <c r="J178" s="43">
        <f>J172</f>
        <v>11</v>
      </c>
      <c r="K178" s="42" t="s">
        <v>424</v>
      </c>
      <c r="L178" s="51" t="s">
        <v>583</v>
      </c>
      <c r="Q178" s="19" t="s">
        <v>215</v>
      </c>
    </row>
    <row r="179" spans="1:18">
      <c r="A179" s="3" cm="1">
        <f t="array" aca="1" ref="A179" ca="1">INDIRECT("A"&amp;ROW()-1)</f>
        <v>96</v>
      </c>
      <c r="B179" s="3" t="str">
        <f t="shared" ca="1" si="15"/>
        <v/>
      </c>
      <c r="F179" s="55" t="str">
        <f t="shared" ref="F179" si="19">F178</f>
        <v>FALSE</v>
      </c>
      <c r="G179" s="5" t="s">
        <v>2</v>
      </c>
      <c r="H179" s="7" t="b">
        <v>0</v>
      </c>
      <c r="I179" s="52" t="s">
        <v>509</v>
      </c>
      <c r="J179" s="43"/>
      <c r="K179" s="43"/>
      <c r="M179" s="51" t="s">
        <v>513</v>
      </c>
    </row>
    <row r="180" spans="1:18">
      <c r="A180" s="3" cm="1">
        <f t="array" aca="1" ref="A180" ca="1">INDIRECT("A"&amp;ROW()-1)+1</f>
        <v>97</v>
      </c>
      <c r="B180" s="3">
        <f t="shared" ca="1" si="15"/>
        <v>97</v>
      </c>
      <c r="C180" s="3" t="str">
        <f ca="1">A178&amp;"==True"</f>
        <v>96==True</v>
      </c>
      <c r="D180" s="4" t="s">
        <v>294</v>
      </c>
      <c r="E180" s="24" t="s">
        <v>153</v>
      </c>
      <c r="F180" s="56" t="s">
        <v>141</v>
      </c>
      <c r="H180" s="15" t="s">
        <v>136</v>
      </c>
      <c r="I180" s="15"/>
      <c r="J180" s="44">
        <f>J178</f>
        <v>11</v>
      </c>
      <c r="K180" s="42" t="s">
        <v>424</v>
      </c>
      <c r="M180" s="51" t="s">
        <v>369</v>
      </c>
      <c r="N180" s="16"/>
      <c r="O180" s="8"/>
      <c r="P180" s="22" t="s">
        <v>159</v>
      </c>
      <c r="Q180" s="79" t="s">
        <v>951</v>
      </c>
      <c r="R180" s="78" t="s">
        <v>966</v>
      </c>
    </row>
    <row r="181" spans="1:18" ht="69.599999999999994" customHeight="1">
      <c r="A181" s="3" cm="1">
        <f t="array" aca="1" ref="A181" ca="1">INDIRECT("A"&amp;ROW()-1)+1</f>
        <v>98</v>
      </c>
      <c r="B181" s="3">
        <f t="shared" ca="1" si="15"/>
        <v>98</v>
      </c>
      <c r="C181" s="3" t="str">
        <f ca="1">A12&amp;"any['结构'] and "&amp;A12&amp;"any['光源'] or "&amp;A12&amp;"any['硬件']"</f>
        <v>7any['结构'] and 7any['光源'] or 7any['硬件']</v>
      </c>
      <c r="D181" s="4" t="s">
        <v>119</v>
      </c>
      <c r="E181" s="5" t="s">
        <v>5</v>
      </c>
      <c r="F181" s="56" t="s">
        <v>141</v>
      </c>
      <c r="G181" s="5" t="s">
        <v>1</v>
      </c>
      <c r="H181" s="7" t="b">
        <v>1</v>
      </c>
      <c r="I181" s="52" t="s">
        <v>512</v>
      </c>
      <c r="J181" s="43">
        <f>J172</f>
        <v>11</v>
      </c>
      <c r="K181" s="42" t="s">
        <v>424</v>
      </c>
      <c r="L181" s="58" t="s">
        <v>584</v>
      </c>
      <c r="Q181" s="19" t="s">
        <v>214</v>
      </c>
    </row>
    <row r="182" spans="1:18">
      <c r="A182" s="3" cm="1">
        <f t="array" aca="1" ref="A182" ca="1">INDIRECT("A"&amp;ROW()-1)</f>
        <v>98</v>
      </c>
      <c r="B182" s="3" t="str">
        <f t="shared" ca="1" si="15"/>
        <v/>
      </c>
      <c r="F182" s="55" t="str">
        <f t="shared" ref="F182" si="20">F181</f>
        <v>FALSE</v>
      </c>
      <c r="G182" s="5" t="s">
        <v>2</v>
      </c>
      <c r="H182" s="7" t="b">
        <v>0</v>
      </c>
      <c r="I182" s="52" t="s">
        <v>509</v>
      </c>
      <c r="J182" s="43"/>
      <c r="K182" s="43"/>
      <c r="M182" s="51" t="s">
        <v>514</v>
      </c>
    </row>
    <row r="183" spans="1:18">
      <c r="A183" s="3" cm="1">
        <f t="array" aca="1" ref="A183" ca="1">INDIRECT("A"&amp;ROW()-1)+1</f>
        <v>99</v>
      </c>
      <c r="B183" s="3">
        <f t="shared" ca="1" si="15"/>
        <v>99</v>
      </c>
      <c r="C183" s="3" t="str">
        <f ca="1">A181&amp;"==True"</f>
        <v>98==True</v>
      </c>
      <c r="D183" s="4" t="s">
        <v>295</v>
      </c>
      <c r="E183" s="24" t="s">
        <v>153</v>
      </c>
      <c r="F183" s="56" t="s">
        <v>141</v>
      </c>
      <c r="H183" s="15" t="s">
        <v>136</v>
      </c>
      <c r="I183" s="15"/>
      <c r="J183" s="44">
        <f>J181</f>
        <v>11</v>
      </c>
      <c r="K183" s="42" t="s">
        <v>424</v>
      </c>
      <c r="M183" s="51" t="s">
        <v>515</v>
      </c>
      <c r="N183" s="16"/>
      <c r="O183" s="8"/>
      <c r="P183" s="22" t="s">
        <v>159</v>
      </c>
      <c r="Q183" s="79" t="s">
        <v>952</v>
      </c>
      <c r="R183" s="78" t="s">
        <v>965</v>
      </c>
    </row>
    <row r="184" spans="1:18" ht="31.2">
      <c r="A184" s="3" cm="1">
        <f t="array" aca="1" ref="A184" ca="1">INDIRECT("A"&amp;ROW()-1)+1</f>
        <v>100</v>
      </c>
      <c r="B184" s="3">
        <f t="shared" ca="1" si="15"/>
        <v>100</v>
      </c>
      <c r="C184" s="3" t="str">
        <f ca="1">A12&amp;"any['结构','硬件']"</f>
        <v>7any['结构','硬件']</v>
      </c>
      <c r="D184" s="4" t="s">
        <v>207</v>
      </c>
      <c r="E184" s="5" t="s">
        <v>5</v>
      </c>
      <c r="F184" s="56" t="s">
        <v>141</v>
      </c>
      <c r="G184" s="5" t="s">
        <v>1</v>
      </c>
      <c r="H184" s="7" t="b">
        <v>1</v>
      </c>
      <c r="I184" s="52" t="s">
        <v>512</v>
      </c>
      <c r="J184" s="48">
        <v>12</v>
      </c>
      <c r="K184" s="42" t="s">
        <v>428</v>
      </c>
      <c r="L184" s="51" t="s">
        <v>585</v>
      </c>
      <c r="Q184" s="19" t="s">
        <v>213</v>
      </c>
    </row>
    <row r="185" spans="1:18">
      <c r="A185" s="3" cm="1">
        <f t="array" aca="1" ref="A185" ca="1">INDIRECT("A"&amp;ROW()-1)</f>
        <v>100</v>
      </c>
      <c r="B185" s="3" t="str">
        <f t="shared" ca="1" si="15"/>
        <v/>
      </c>
      <c r="F185" s="55" t="str">
        <f>F184</f>
        <v>FALSE</v>
      </c>
      <c r="G185" s="5" t="s">
        <v>2</v>
      </c>
      <c r="H185" s="7" t="b">
        <v>0</v>
      </c>
      <c r="I185" s="52" t="s">
        <v>509</v>
      </c>
      <c r="J185" s="48"/>
      <c r="K185" s="48"/>
      <c r="M185" s="51" t="s">
        <v>516</v>
      </c>
    </row>
    <row r="186" spans="1:18">
      <c r="A186" s="3" cm="1">
        <f t="array" aca="1" ref="A186" ca="1">INDIRECT("A"&amp;ROW()-1)+1</f>
        <v>101</v>
      </c>
      <c r="B186" s="3">
        <f t="shared" ca="1" si="15"/>
        <v>101</v>
      </c>
      <c r="C186" s="3" t="str">
        <f ca="1">A184&amp;"==True"</f>
        <v>100==True</v>
      </c>
      <c r="D186" s="4" t="s">
        <v>296</v>
      </c>
      <c r="E186" s="24" t="s">
        <v>153</v>
      </c>
      <c r="F186" s="56" t="s">
        <v>141</v>
      </c>
      <c r="H186" s="15" t="s">
        <v>136</v>
      </c>
      <c r="I186" s="15"/>
      <c r="J186" s="44">
        <f>J184</f>
        <v>12</v>
      </c>
      <c r="K186" s="42" t="s">
        <v>428</v>
      </c>
      <c r="M186" s="38" t="s">
        <v>370</v>
      </c>
      <c r="N186" s="16"/>
      <c r="O186" s="8"/>
      <c r="P186" s="18"/>
      <c r="Q186" s="19" t="s">
        <v>208</v>
      </c>
    </row>
    <row r="187" spans="1:18" ht="31.2">
      <c r="A187" s="3" cm="1">
        <f t="array" aca="1" ref="A187" ca="1">INDIRECT("A"&amp;ROW()-1)+1</f>
        <v>102</v>
      </c>
      <c r="B187" s="3">
        <f t="shared" ca="1" si="15"/>
        <v>102</v>
      </c>
      <c r="C187" s="3" t="str">
        <f ca="1">A12&amp;"any['结构']"</f>
        <v>7any['结构']</v>
      </c>
      <c r="D187" s="4" t="s">
        <v>118</v>
      </c>
      <c r="E187" s="5" t="s">
        <v>5</v>
      </c>
      <c r="F187" s="56" t="s">
        <v>132</v>
      </c>
      <c r="G187" s="5" t="s">
        <v>1</v>
      </c>
      <c r="H187" s="7" t="b">
        <v>1</v>
      </c>
      <c r="I187" s="52" t="s">
        <v>519</v>
      </c>
      <c r="J187" s="48">
        <v>13</v>
      </c>
      <c r="K187" s="42" t="s">
        <v>430</v>
      </c>
      <c r="L187" s="51" t="s">
        <v>586</v>
      </c>
      <c r="M187" s="52" t="s">
        <v>521</v>
      </c>
      <c r="Q187" s="19" t="s">
        <v>212</v>
      </c>
    </row>
    <row r="188" spans="1:18">
      <c r="A188" s="3" cm="1">
        <f t="array" aca="1" ref="A188" ca="1">INDIRECT("A"&amp;ROW()-1)</f>
        <v>102</v>
      </c>
      <c r="B188" s="3" t="str">
        <f t="shared" ca="1" si="15"/>
        <v/>
      </c>
      <c r="F188" s="55" t="str">
        <f>F187</f>
        <v>TRUE</v>
      </c>
      <c r="G188" s="5" t="s">
        <v>2</v>
      </c>
      <c r="H188" s="7" t="b">
        <v>0</v>
      </c>
      <c r="I188" s="52" t="s">
        <v>520</v>
      </c>
      <c r="J188" s="48"/>
      <c r="K188" s="48"/>
      <c r="M188" s="52" t="s">
        <v>522</v>
      </c>
    </row>
    <row r="189" spans="1:18" ht="31.2">
      <c r="A189" s="3" cm="1">
        <f t="array" aca="1" ref="A189" ca="1">INDIRECT("A"&amp;ROW()-1)+1</f>
        <v>103</v>
      </c>
      <c r="B189" s="3">
        <f t="shared" ca="1" si="15"/>
        <v>103</v>
      </c>
      <c r="C189" s="3" t="str">
        <f ca="1">A12&amp;"any['光学','结构']"</f>
        <v>7any['光学','结构']</v>
      </c>
      <c r="D189" s="4" t="s">
        <v>209</v>
      </c>
      <c r="E189" s="5" t="s">
        <v>5</v>
      </c>
      <c r="F189" s="56" t="s">
        <v>132</v>
      </c>
      <c r="G189" s="5" t="s">
        <v>1</v>
      </c>
      <c r="H189" s="7" t="b">
        <v>1</v>
      </c>
      <c r="I189" s="52" t="s">
        <v>519</v>
      </c>
      <c r="J189" s="48">
        <f>J187</f>
        <v>13</v>
      </c>
      <c r="K189" s="42" t="s">
        <v>431</v>
      </c>
      <c r="L189" s="51" t="s">
        <v>587</v>
      </c>
      <c r="M189" s="52" t="s">
        <v>525</v>
      </c>
      <c r="Q189" s="19" t="s">
        <v>211</v>
      </c>
    </row>
    <row r="190" spans="1:18">
      <c r="A190" s="3" cm="1">
        <f t="array" aca="1" ref="A190" ca="1">INDIRECT("A"&amp;ROW()-1)</f>
        <v>103</v>
      </c>
      <c r="B190" s="3" t="str">
        <f t="shared" ca="1" si="15"/>
        <v/>
      </c>
      <c r="F190" s="55" t="str">
        <f>F189</f>
        <v>TRUE</v>
      </c>
      <c r="G190" s="5" t="s">
        <v>2</v>
      </c>
      <c r="H190" s="7" t="b">
        <v>0</v>
      </c>
      <c r="I190" s="52" t="s">
        <v>520</v>
      </c>
      <c r="J190" s="48"/>
      <c r="K190" s="48"/>
      <c r="M190" s="52" t="s">
        <v>525</v>
      </c>
    </row>
    <row r="191" spans="1:18">
      <c r="A191" s="3" cm="1">
        <f t="array" aca="1" ref="A191" ca="1">INDIRECT("A"&amp;ROW()-1)+1</f>
        <v>104</v>
      </c>
      <c r="B191" s="3">
        <f t="shared" ca="1" si="15"/>
        <v>104</v>
      </c>
      <c r="C191" s="3" t="str">
        <f ca="1">A12&amp;"any['结构']"</f>
        <v>7any['结构']</v>
      </c>
      <c r="D191" s="4" t="s">
        <v>117</v>
      </c>
      <c r="E191" s="5" t="s">
        <v>5</v>
      </c>
      <c r="F191" s="56" t="s">
        <v>132</v>
      </c>
      <c r="G191" s="5" t="s">
        <v>1</v>
      </c>
      <c r="H191" s="7" t="b">
        <v>1</v>
      </c>
      <c r="I191" s="52" t="s">
        <v>519</v>
      </c>
      <c r="J191" s="48">
        <f>J187</f>
        <v>13</v>
      </c>
      <c r="K191" s="42" t="s">
        <v>428</v>
      </c>
      <c r="L191" s="51" t="s">
        <v>588</v>
      </c>
      <c r="M191" s="52" t="s">
        <v>524</v>
      </c>
      <c r="Q191" s="19" t="s">
        <v>210</v>
      </c>
    </row>
    <row r="192" spans="1:18">
      <c r="A192" s="3" cm="1">
        <f t="array" aca="1" ref="A192" ca="1">INDIRECT("A"&amp;ROW()-1)</f>
        <v>104</v>
      </c>
      <c r="B192" s="3" t="str">
        <f t="shared" ca="1" si="15"/>
        <v/>
      </c>
      <c r="F192" s="55" t="str">
        <f>F191</f>
        <v>TRUE</v>
      </c>
      <c r="G192" s="5" t="s">
        <v>2</v>
      </c>
      <c r="H192" s="7" t="b">
        <v>0</v>
      </c>
      <c r="I192" s="52" t="s">
        <v>520</v>
      </c>
      <c r="J192" s="48"/>
      <c r="K192" s="48"/>
      <c r="M192" s="52" t="s">
        <v>524</v>
      </c>
    </row>
    <row r="193" spans="1:17" ht="31.2">
      <c r="A193" s="3" cm="1">
        <f t="array" aca="1" ref="A193" ca="1">INDIRECT("A"&amp;ROW()-1)+1</f>
        <v>105</v>
      </c>
      <c r="B193" s="3">
        <f t="shared" ca="1" si="15"/>
        <v>105</v>
      </c>
      <c r="C193" s="3" t="str">
        <f ca="1">A12&amp;"any['结构']"</f>
        <v>7any['结构']</v>
      </c>
      <c r="D193" s="4" t="s">
        <v>637</v>
      </c>
      <c r="E193" s="5" t="s">
        <v>5</v>
      </c>
      <c r="F193" s="56" t="s">
        <v>132</v>
      </c>
      <c r="G193" s="5" t="s">
        <v>1</v>
      </c>
      <c r="H193" s="7" t="b">
        <v>1</v>
      </c>
      <c r="I193" s="52" t="s">
        <v>519</v>
      </c>
      <c r="J193" s="48">
        <f>J187</f>
        <v>13</v>
      </c>
      <c r="K193" s="42" t="s">
        <v>431</v>
      </c>
      <c r="L193" s="51" t="s">
        <v>589</v>
      </c>
      <c r="M193" s="52" t="s">
        <v>523</v>
      </c>
      <c r="Q193" s="19" t="s">
        <v>216</v>
      </c>
    </row>
    <row r="194" spans="1:17">
      <c r="A194" s="3" cm="1">
        <f t="array" aca="1" ref="A194" ca="1">INDIRECT("A"&amp;ROW()-1)</f>
        <v>105</v>
      </c>
      <c r="B194" s="3" t="str">
        <f t="shared" ca="1" si="15"/>
        <v/>
      </c>
      <c r="F194" s="55" t="str">
        <f>F193</f>
        <v>TRUE</v>
      </c>
      <c r="G194" s="5" t="s">
        <v>2</v>
      </c>
      <c r="H194" s="7" t="b">
        <v>0</v>
      </c>
      <c r="I194" s="52" t="s">
        <v>520</v>
      </c>
      <c r="J194" s="48"/>
      <c r="K194" s="48"/>
      <c r="M194" s="52" t="s">
        <v>523</v>
      </c>
    </row>
    <row r="195" spans="1:17">
      <c r="A195" s="3" cm="1">
        <f t="array" aca="1" ref="A195" ca="1">INDIRECT("A"&amp;ROW()-1)+1</f>
        <v>106</v>
      </c>
      <c r="B195" s="3">
        <f t="shared" ref="B195:B258" ca="1" si="21">IF(A195=A194,"",A195)</f>
        <v>106</v>
      </c>
      <c r="C195" s="3" t="str">
        <f ca="1">A12&amp;"any['结构']"</f>
        <v>7any['结构']</v>
      </c>
      <c r="D195" s="4" t="s">
        <v>116</v>
      </c>
      <c r="E195" s="5" t="s">
        <v>5</v>
      </c>
      <c r="F195" s="56" t="s">
        <v>141</v>
      </c>
      <c r="G195" s="5" t="s">
        <v>1</v>
      </c>
      <c r="H195" s="7" t="b">
        <v>1</v>
      </c>
      <c r="I195" s="37" t="s">
        <v>316</v>
      </c>
      <c r="J195" s="48">
        <v>14</v>
      </c>
      <c r="K195" s="42" t="s">
        <v>430</v>
      </c>
      <c r="L195" s="51"/>
      <c r="Q195" s="69" t="s">
        <v>218</v>
      </c>
    </row>
    <row r="196" spans="1:17">
      <c r="A196" s="3" cm="1">
        <f t="array" aca="1" ref="A196" ca="1">INDIRECT("A"&amp;ROW()-1)</f>
        <v>106</v>
      </c>
      <c r="B196" s="3" t="str">
        <f t="shared" ca="1" si="21"/>
        <v/>
      </c>
      <c r="F196" s="55" t="str">
        <f>F195</f>
        <v>FALSE</v>
      </c>
      <c r="G196" s="5" t="s">
        <v>2</v>
      </c>
      <c r="H196" s="7" t="b">
        <v>0</v>
      </c>
      <c r="I196" s="52" t="s">
        <v>520</v>
      </c>
      <c r="J196" s="48"/>
      <c r="K196" s="48"/>
      <c r="M196" s="51" t="s">
        <v>526</v>
      </c>
    </row>
    <row r="197" spans="1:17">
      <c r="A197" s="3" cm="1">
        <f t="array" aca="1" ref="A197" ca="1">INDIRECT("A"&amp;ROW()-1)+1</f>
        <v>107</v>
      </c>
      <c r="B197" s="3">
        <f t="shared" ca="1" si="21"/>
        <v>107</v>
      </c>
      <c r="C197" s="3" t="str">
        <f ca="1">A195&amp;"==True"</f>
        <v>106==True</v>
      </c>
      <c r="D197" s="4" t="s">
        <v>297</v>
      </c>
      <c r="E197" s="11" t="s">
        <v>154</v>
      </c>
      <c r="F197" s="46" t="s">
        <v>132</v>
      </c>
      <c r="H197" s="15" t="s">
        <v>136</v>
      </c>
      <c r="I197" s="15"/>
      <c r="J197" s="44">
        <f>J195</f>
        <v>14</v>
      </c>
      <c r="K197" s="42" t="s">
        <v>430</v>
      </c>
      <c r="M197" s="38" t="s">
        <v>371</v>
      </c>
      <c r="N197" s="16"/>
      <c r="O197" s="8"/>
      <c r="P197" s="18"/>
      <c r="Q197" s="19" t="s">
        <v>217</v>
      </c>
    </row>
    <row r="198" spans="1:17">
      <c r="A198" s="3" cm="1">
        <f t="array" aca="1" ref="A198" ca="1">INDIRECT("A"&amp;ROW()-1)+1</f>
        <v>108</v>
      </c>
      <c r="B198" s="3">
        <f t="shared" ca="1" si="21"/>
        <v>108</v>
      </c>
      <c r="C198" s="3" t="str">
        <f ca="1">A15&amp;"any['结构']"</f>
        <v>7any['结构']</v>
      </c>
      <c r="D198" s="4" t="s">
        <v>795</v>
      </c>
      <c r="E198" s="5" t="s">
        <v>5</v>
      </c>
      <c r="F198" s="56" t="s">
        <v>141</v>
      </c>
      <c r="G198" s="5" t="s">
        <v>1</v>
      </c>
      <c r="H198" s="7" t="b">
        <v>1</v>
      </c>
      <c r="I198" s="37" t="s">
        <v>316</v>
      </c>
      <c r="J198" s="48">
        <f>J195</f>
        <v>14</v>
      </c>
      <c r="K198" s="42" t="s">
        <v>430</v>
      </c>
      <c r="L198" s="51"/>
      <c r="Q198" s="69" t="s">
        <v>799</v>
      </c>
    </row>
    <row r="199" spans="1:17">
      <c r="A199" s="3" cm="1">
        <f t="array" aca="1" ref="A199" ca="1">INDIRECT("A"&amp;ROW()-1)</f>
        <v>108</v>
      </c>
      <c r="B199" s="3" t="str">
        <f t="shared" ca="1" si="21"/>
        <v/>
      </c>
      <c r="F199" s="55" t="str">
        <f>F198</f>
        <v>FALSE</v>
      </c>
      <c r="G199" s="5" t="s">
        <v>2</v>
      </c>
      <c r="H199" s="7" t="b">
        <v>0</v>
      </c>
      <c r="I199" s="52" t="s">
        <v>520</v>
      </c>
      <c r="J199" s="48"/>
      <c r="K199" s="48"/>
      <c r="M199" s="70" t="s">
        <v>797</v>
      </c>
    </row>
    <row r="200" spans="1:17">
      <c r="A200" s="3" cm="1">
        <f t="array" aca="1" ref="A200" ca="1">INDIRECT("A"&amp;ROW()-1)+1</f>
        <v>109</v>
      </c>
      <c r="B200" s="3">
        <f t="shared" ca="1" si="21"/>
        <v>109</v>
      </c>
      <c r="C200" s="3" t="str">
        <f ca="1">A198&amp;"==True"</f>
        <v>108==True</v>
      </c>
      <c r="D200" s="4" t="s">
        <v>796</v>
      </c>
      <c r="E200" s="11" t="s">
        <v>154</v>
      </c>
      <c r="F200" s="46" t="s">
        <v>132</v>
      </c>
      <c r="H200" s="15" t="s">
        <v>136</v>
      </c>
      <c r="I200" s="15"/>
      <c r="J200" s="44">
        <f>J198</f>
        <v>14</v>
      </c>
      <c r="K200" s="42" t="s">
        <v>430</v>
      </c>
      <c r="M200" s="70" t="s">
        <v>798</v>
      </c>
      <c r="N200" s="16"/>
      <c r="O200" s="8"/>
      <c r="P200" s="18"/>
      <c r="Q200" s="69" t="s">
        <v>800</v>
      </c>
    </row>
    <row r="201" spans="1:17" ht="31.2">
      <c r="A201" s="3" cm="1">
        <f t="array" aca="1" ref="A201" ca="1">INDIRECT("A"&amp;ROW()-1)+1</f>
        <v>110</v>
      </c>
      <c r="B201" s="3">
        <f t="shared" ca="1" si="21"/>
        <v>110</v>
      </c>
      <c r="C201" s="3" t="str">
        <f ca="1">A8&amp;"==整机 and "&amp;A12&amp;"any['结构']"</f>
        <v>5==整机 and 7any['结构']</v>
      </c>
      <c r="D201" s="4" t="s">
        <v>801</v>
      </c>
      <c r="E201" s="68" t="s">
        <v>5</v>
      </c>
      <c r="F201" s="56" t="s">
        <v>141</v>
      </c>
      <c r="G201" s="5" t="s">
        <v>1</v>
      </c>
      <c r="H201" s="7" t="b">
        <v>1</v>
      </c>
      <c r="I201" s="37" t="s">
        <v>316</v>
      </c>
      <c r="J201" s="48">
        <f>J195</f>
        <v>14</v>
      </c>
      <c r="K201" s="71" t="s">
        <v>435</v>
      </c>
      <c r="L201" s="51"/>
      <c r="Q201" s="69" t="s">
        <v>806</v>
      </c>
    </row>
    <row r="202" spans="1:17">
      <c r="A202" s="3" cm="1">
        <f t="array" aca="1" ref="A202" ca="1">INDIRECT("A"&amp;ROW()-1)</f>
        <v>110</v>
      </c>
      <c r="B202" s="3" t="str">
        <f t="shared" ca="1" si="21"/>
        <v/>
      </c>
      <c r="F202" s="55" t="str">
        <f>F201</f>
        <v>FALSE</v>
      </c>
      <c r="G202" s="5" t="s">
        <v>2</v>
      </c>
      <c r="H202" s="7" t="b">
        <v>0</v>
      </c>
      <c r="I202" s="52" t="s">
        <v>520</v>
      </c>
      <c r="J202" s="48"/>
      <c r="K202" s="48"/>
      <c r="M202" s="70" t="s">
        <v>803</v>
      </c>
    </row>
    <row r="203" spans="1:17" ht="31.2">
      <c r="A203" s="3" cm="1">
        <f t="array" aca="1" ref="A203" ca="1">INDIRECT("A"&amp;ROW()-1)+1</f>
        <v>111</v>
      </c>
      <c r="B203" s="3">
        <f t="shared" ca="1" si="21"/>
        <v>111</v>
      </c>
      <c r="C203" s="3" t="str">
        <f ca="1">A201&amp;"==True"</f>
        <v>110==True</v>
      </c>
      <c r="D203" s="4" t="s">
        <v>802</v>
      </c>
      <c r="E203" s="11" t="s">
        <v>154</v>
      </c>
      <c r="F203" s="46" t="s">
        <v>132</v>
      </c>
      <c r="H203" s="15" t="s">
        <v>136</v>
      </c>
      <c r="I203" s="15"/>
      <c r="J203" s="44">
        <f>J201</f>
        <v>14</v>
      </c>
      <c r="K203" s="71" t="s">
        <v>435</v>
      </c>
      <c r="M203" s="70" t="s">
        <v>804</v>
      </c>
      <c r="N203" s="16"/>
      <c r="O203" s="8"/>
      <c r="P203" s="18"/>
      <c r="Q203" s="69" t="s">
        <v>805</v>
      </c>
    </row>
    <row r="204" spans="1:17" ht="31.2">
      <c r="A204" s="3" cm="1">
        <f t="array" aca="1" ref="A204" ca="1">INDIRECT("A"&amp;ROW()-1)+1</f>
        <v>112</v>
      </c>
      <c r="B204" s="3">
        <f t="shared" ca="1" si="21"/>
        <v>112</v>
      </c>
      <c r="C204" s="3" t="str">
        <f ca="1">A12&amp;"any['结构']"</f>
        <v>7any['结构']</v>
      </c>
      <c r="D204" s="4" t="s">
        <v>219</v>
      </c>
      <c r="E204" s="5" t="s">
        <v>5</v>
      </c>
      <c r="F204" s="56" t="s">
        <v>141</v>
      </c>
      <c r="G204" s="5" t="s">
        <v>1</v>
      </c>
      <c r="H204" s="7" t="b">
        <v>1</v>
      </c>
      <c r="I204" s="37" t="s">
        <v>316</v>
      </c>
      <c r="J204" s="48">
        <f>J195</f>
        <v>14</v>
      </c>
      <c r="K204" s="42" t="s">
        <v>430</v>
      </c>
      <c r="L204" s="51" t="s">
        <v>590</v>
      </c>
      <c r="Q204" s="19" t="s">
        <v>220</v>
      </c>
    </row>
    <row r="205" spans="1:17">
      <c r="A205" s="3" cm="1">
        <f t="array" aca="1" ref="A205" ca="1">INDIRECT("A"&amp;ROW()-1)</f>
        <v>112</v>
      </c>
      <c r="B205" s="3" t="str">
        <f t="shared" ca="1" si="21"/>
        <v/>
      </c>
      <c r="F205" s="55" t="str">
        <f>F204</f>
        <v>FALSE</v>
      </c>
      <c r="G205" s="5" t="s">
        <v>2</v>
      </c>
      <c r="H205" s="7" t="b">
        <v>0</v>
      </c>
      <c r="I205" s="52" t="s">
        <v>520</v>
      </c>
      <c r="J205" s="48"/>
      <c r="K205" s="48"/>
      <c r="M205" s="51" t="s">
        <v>527</v>
      </c>
    </row>
    <row r="206" spans="1:17">
      <c r="A206" s="3" cm="1">
        <f t="array" aca="1" ref="A206" ca="1">INDIRECT("A"&amp;ROW()-1)+1</f>
        <v>113</v>
      </c>
      <c r="B206" s="3">
        <f t="shared" ca="1" si="21"/>
        <v>113</v>
      </c>
      <c r="C206" s="3" t="str">
        <f ca="1">A204&amp;"==True"</f>
        <v>112==True</v>
      </c>
      <c r="D206" s="4" t="s">
        <v>298</v>
      </c>
      <c r="E206" s="11" t="s">
        <v>154</v>
      </c>
      <c r="F206" s="46" t="s">
        <v>132</v>
      </c>
      <c r="H206" s="15" t="s">
        <v>136</v>
      </c>
      <c r="I206" s="15"/>
      <c r="J206" s="44">
        <f>J204</f>
        <v>14</v>
      </c>
      <c r="K206" s="42" t="s">
        <v>430</v>
      </c>
      <c r="M206" s="38" t="s">
        <v>372</v>
      </c>
      <c r="N206" s="16"/>
      <c r="O206" s="8"/>
      <c r="P206" s="18"/>
      <c r="Q206" s="19" t="s">
        <v>221</v>
      </c>
    </row>
    <row r="207" spans="1:17" ht="31.2">
      <c r="A207" s="3" cm="1">
        <f t="array" aca="1" ref="A207" ca="1">INDIRECT("A"&amp;ROW()-1)+1</f>
        <v>114</v>
      </c>
      <c r="B207" s="3">
        <f t="shared" ca="1" si="21"/>
        <v>114</v>
      </c>
      <c r="C207" s="3" t="str">
        <f ca="1">A12&amp;"any['结构']"</f>
        <v>7any['结构']</v>
      </c>
      <c r="D207" s="4" t="s">
        <v>115</v>
      </c>
      <c r="E207" s="5" t="s">
        <v>5</v>
      </c>
      <c r="F207" s="56" t="s">
        <v>141</v>
      </c>
      <c r="G207" s="5" t="s">
        <v>1</v>
      </c>
      <c r="H207" s="7" t="b">
        <v>1</v>
      </c>
      <c r="I207" s="37" t="s">
        <v>316</v>
      </c>
      <c r="J207" s="48">
        <f>J195</f>
        <v>14</v>
      </c>
      <c r="K207" s="42" t="s">
        <v>441</v>
      </c>
      <c r="L207" s="51"/>
      <c r="Q207" s="19" t="s">
        <v>222</v>
      </c>
    </row>
    <row r="208" spans="1:17">
      <c r="A208" s="3" cm="1">
        <f t="array" aca="1" ref="A208" ca="1">INDIRECT("A"&amp;ROW()-1)</f>
        <v>114</v>
      </c>
      <c r="B208" s="3" t="str">
        <f t="shared" ca="1" si="21"/>
        <v/>
      </c>
      <c r="F208" s="55" t="str">
        <f>F207</f>
        <v>FALSE</v>
      </c>
      <c r="G208" s="5" t="s">
        <v>2</v>
      </c>
      <c r="H208" s="7" t="b">
        <v>0</v>
      </c>
      <c r="I208" s="52" t="s">
        <v>517</v>
      </c>
      <c r="J208" s="48"/>
      <c r="K208" s="48"/>
      <c r="M208" s="51" t="s">
        <v>528</v>
      </c>
    </row>
    <row r="209" spans="1:18" ht="31.2">
      <c r="A209" s="3" cm="1">
        <f t="array" aca="1" ref="A209" ca="1">INDIRECT("A"&amp;ROW()-1)+1</f>
        <v>115</v>
      </c>
      <c r="B209" s="3">
        <f t="shared" ca="1" si="21"/>
        <v>115</v>
      </c>
      <c r="C209" s="3" t="str">
        <f ca="1">A207&amp;"==True"</f>
        <v>114==True</v>
      </c>
      <c r="D209" s="4" t="s">
        <v>299</v>
      </c>
      <c r="E209" s="24" t="s">
        <v>153</v>
      </c>
      <c r="F209" s="56" t="s">
        <v>141</v>
      </c>
      <c r="H209" s="15" t="s">
        <v>136</v>
      </c>
      <c r="I209" s="15"/>
      <c r="J209" s="44">
        <f>J207</f>
        <v>14</v>
      </c>
      <c r="K209" s="42" t="s">
        <v>441</v>
      </c>
      <c r="M209" s="38" t="s">
        <v>373</v>
      </c>
      <c r="N209" s="16"/>
      <c r="O209" s="8"/>
      <c r="P209" s="22" t="s">
        <v>159</v>
      </c>
      <c r="Q209" s="79" t="s">
        <v>953</v>
      </c>
      <c r="R209" s="78" t="s">
        <v>967</v>
      </c>
    </row>
    <row r="210" spans="1:18" ht="46.8">
      <c r="A210" s="3" cm="1">
        <f t="array" aca="1" ref="A210" ca="1">INDIRECT("A"&amp;ROW()-1)+1</f>
        <v>116</v>
      </c>
      <c r="B210" s="3">
        <f t="shared" ca="1" si="21"/>
        <v>116</v>
      </c>
      <c r="C210" s="3" t="str">
        <f ca="1">A12&amp;"any['硬件']"</f>
        <v>7any['硬件']</v>
      </c>
      <c r="D210" s="4" t="s">
        <v>715</v>
      </c>
      <c r="E210" s="5" t="s">
        <v>5</v>
      </c>
      <c r="F210" s="56" t="s">
        <v>141</v>
      </c>
      <c r="G210" s="68" t="s">
        <v>1</v>
      </c>
      <c r="H210" s="7" t="b">
        <v>1</v>
      </c>
      <c r="I210" s="37" t="s">
        <v>316</v>
      </c>
      <c r="J210" s="48">
        <v>15</v>
      </c>
      <c r="K210" s="42" t="s">
        <v>434</v>
      </c>
      <c r="L210" s="70" t="s">
        <v>712</v>
      </c>
      <c r="M210" s="52"/>
      <c r="Q210" s="69" t="s">
        <v>714</v>
      </c>
    </row>
    <row r="211" spans="1:18">
      <c r="A211" s="3" cm="1">
        <f t="array" aca="1" ref="A211" ca="1">INDIRECT("A"&amp;ROW()-1)</f>
        <v>116</v>
      </c>
      <c r="B211" s="3" t="str">
        <f t="shared" ca="1" si="21"/>
        <v/>
      </c>
      <c r="F211" s="56" t="s">
        <v>141</v>
      </c>
      <c r="G211" s="68" t="s">
        <v>711</v>
      </c>
      <c r="H211" s="7" t="b">
        <v>0</v>
      </c>
      <c r="I211" s="68" t="s">
        <v>520</v>
      </c>
      <c r="J211" s="48"/>
      <c r="K211" s="42"/>
      <c r="L211" s="70"/>
      <c r="M211" s="68" t="s">
        <v>713</v>
      </c>
      <c r="Q211" s="39"/>
    </row>
    <row r="212" spans="1:18" ht="49.8" customHeight="1">
      <c r="A212" s="3" cm="1">
        <f t="array" aca="1" ref="A212" ca="1">INDIRECT("A"&amp;ROW()-1)+1</f>
        <v>117</v>
      </c>
      <c r="B212" s="3">
        <f t="shared" ca="1" si="21"/>
        <v>117</v>
      </c>
      <c r="C212" s="3" t="str">
        <f ca="1">A12&amp;"any['结构'] and "&amp;A12&amp;"any['光源'] or "&amp;A12&amp;"any['硬件']"</f>
        <v>7any['结构'] and 7any['光源'] or 7any['硬件']</v>
      </c>
      <c r="D212" s="4" t="s">
        <v>716</v>
      </c>
      <c r="E212" s="11" t="s">
        <v>154</v>
      </c>
      <c r="F212" s="45" t="s">
        <v>132</v>
      </c>
      <c r="H212" s="15" t="s">
        <v>136</v>
      </c>
      <c r="I212" s="15"/>
      <c r="J212" s="44">
        <f>J210</f>
        <v>15</v>
      </c>
      <c r="K212" s="42" t="s">
        <v>434</v>
      </c>
      <c r="M212" s="70" t="s">
        <v>718</v>
      </c>
      <c r="N212" s="16"/>
      <c r="O212" s="8"/>
      <c r="P212" s="18"/>
      <c r="Q212" s="69" t="s">
        <v>908</v>
      </c>
    </row>
    <row r="213" spans="1:18" ht="31.2">
      <c r="A213" s="3" cm="1">
        <f t="array" aca="1" ref="A213" ca="1">INDIRECT("A"&amp;ROW()-1)+1</f>
        <v>118</v>
      </c>
      <c r="B213" s="3">
        <f t="shared" ca="1" si="21"/>
        <v>118</v>
      </c>
      <c r="C213" s="3" t="str">
        <f ca="1">A12&amp;"any['结构']"</f>
        <v>7any['结构']</v>
      </c>
      <c r="D213" s="4" t="s">
        <v>110</v>
      </c>
      <c r="E213" s="5" t="s">
        <v>5</v>
      </c>
      <c r="F213" s="56" t="s">
        <v>141</v>
      </c>
      <c r="G213" s="5" t="s">
        <v>1</v>
      </c>
      <c r="H213" s="7" t="b">
        <v>1</v>
      </c>
      <c r="I213" s="52" t="s">
        <v>530</v>
      </c>
      <c r="J213" s="48">
        <f>J210</f>
        <v>15</v>
      </c>
      <c r="K213" s="42" t="s">
        <v>424</v>
      </c>
      <c r="L213" s="51" t="s">
        <v>591</v>
      </c>
      <c r="M213" s="52" t="s">
        <v>529</v>
      </c>
      <c r="Q213" s="19" t="s">
        <v>223</v>
      </c>
    </row>
    <row r="214" spans="1:18">
      <c r="A214" s="3" cm="1">
        <f t="array" aca="1" ref="A214" ca="1">INDIRECT("A"&amp;ROW()-1)</f>
        <v>118</v>
      </c>
      <c r="B214" s="3" t="str">
        <f t="shared" ca="1" si="21"/>
        <v/>
      </c>
      <c r="F214" s="55" t="str">
        <f>F213</f>
        <v>FALSE</v>
      </c>
      <c r="G214" s="5" t="s">
        <v>2</v>
      </c>
      <c r="H214" s="7" t="b">
        <v>0</v>
      </c>
      <c r="I214" s="52" t="s">
        <v>532</v>
      </c>
      <c r="J214" s="48"/>
      <c r="K214" s="48"/>
      <c r="M214" s="52" t="s">
        <v>531</v>
      </c>
    </row>
    <row r="215" spans="1:18">
      <c r="A215" s="3" cm="1">
        <f t="array" aca="1" ref="A215" ca="1">INDIRECT("A"&amp;ROW()-1)+1</f>
        <v>119</v>
      </c>
      <c r="B215" s="3">
        <f t="shared" ca="1" si="21"/>
        <v>119</v>
      </c>
      <c r="C215" s="3" t="str">
        <f ca="1">A12&amp;"any['结构']"</f>
        <v>7any['结构']</v>
      </c>
      <c r="D215" s="4" t="s">
        <v>374</v>
      </c>
      <c r="E215" s="5" t="s">
        <v>5</v>
      </c>
      <c r="F215" s="56" t="s">
        <v>141</v>
      </c>
      <c r="G215" s="5" t="s">
        <v>1</v>
      </c>
      <c r="H215" s="7" t="b">
        <v>1</v>
      </c>
      <c r="I215" s="37" t="s">
        <v>316</v>
      </c>
      <c r="J215" s="48">
        <f>J213</f>
        <v>15</v>
      </c>
      <c r="K215" s="42" t="s">
        <v>424</v>
      </c>
      <c r="L215" s="51" t="s">
        <v>592</v>
      </c>
      <c r="Q215" s="19" t="s">
        <v>224</v>
      </c>
    </row>
    <row r="216" spans="1:18">
      <c r="A216" s="3" cm="1">
        <f t="array" aca="1" ref="A216" ca="1">INDIRECT("A"&amp;ROW()-1)</f>
        <v>119</v>
      </c>
      <c r="B216" s="3" t="str">
        <f t="shared" ca="1" si="21"/>
        <v/>
      </c>
      <c r="F216" s="55" t="str">
        <f>F215</f>
        <v>FALSE</v>
      </c>
      <c r="G216" s="5" t="s">
        <v>2</v>
      </c>
      <c r="H216" s="7" t="b">
        <v>0</v>
      </c>
      <c r="I216" s="52" t="s">
        <v>533</v>
      </c>
      <c r="J216" s="48"/>
      <c r="K216" s="48"/>
      <c r="M216" s="51" t="s">
        <v>534</v>
      </c>
    </row>
    <row r="217" spans="1:18">
      <c r="A217" s="3" cm="1">
        <f t="array" aca="1" ref="A217" ca="1">INDIRECT("A"&amp;ROW()-1)+1</f>
        <v>120</v>
      </c>
      <c r="B217" s="3">
        <f t="shared" ca="1" si="21"/>
        <v>120</v>
      </c>
      <c r="C217" s="3" t="str">
        <f ca="1">A215&amp;"==True"</f>
        <v>119==True</v>
      </c>
      <c r="D217" s="4" t="s">
        <v>375</v>
      </c>
      <c r="E217" s="11" t="s">
        <v>154</v>
      </c>
      <c r="F217" s="45" t="s">
        <v>132</v>
      </c>
      <c r="H217" s="15" t="s">
        <v>136</v>
      </c>
      <c r="I217" s="15"/>
      <c r="J217" s="44">
        <f>J215</f>
        <v>15</v>
      </c>
      <c r="K217" s="42" t="s">
        <v>424</v>
      </c>
      <c r="M217" s="38" t="s">
        <v>376</v>
      </c>
      <c r="N217" s="16"/>
      <c r="O217" s="8"/>
      <c r="P217" s="18"/>
      <c r="Q217" s="19" t="s">
        <v>226</v>
      </c>
    </row>
    <row r="218" spans="1:18" ht="31.2">
      <c r="A218" s="3" cm="1">
        <f t="array" aca="1" ref="A218" ca="1">INDIRECT("A"&amp;ROW()-1)+1</f>
        <v>121</v>
      </c>
      <c r="B218" s="3">
        <f t="shared" ca="1" si="21"/>
        <v>121</v>
      </c>
      <c r="C218" s="3" t="str">
        <f ca="1">A12&amp;"any['结构']"</f>
        <v>7any['结构']</v>
      </c>
      <c r="D218" s="4" t="s">
        <v>225</v>
      </c>
      <c r="E218" s="5" t="s">
        <v>5</v>
      </c>
      <c r="F218" s="45" t="s">
        <v>141</v>
      </c>
      <c r="G218" s="5" t="s">
        <v>1</v>
      </c>
      <c r="H218" s="7" t="b">
        <v>1</v>
      </c>
      <c r="I218" s="37" t="s">
        <v>316</v>
      </c>
      <c r="J218" s="48">
        <f>J210</f>
        <v>15</v>
      </c>
      <c r="K218" s="42" t="s">
        <v>431</v>
      </c>
      <c r="L218" s="51" t="s">
        <v>593</v>
      </c>
      <c r="Q218" s="19" t="s">
        <v>227</v>
      </c>
    </row>
    <row r="219" spans="1:18">
      <c r="A219" s="3" cm="1">
        <f t="array" aca="1" ref="A219" ca="1">INDIRECT("A"&amp;ROW()-1)</f>
        <v>121</v>
      </c>
      <c r="B219" s="3" t="str">
        <f t="shared" ca="1" si="21"/>
        <v/>
      </c>
      <c r="F219" s="55" t="str">
        <f>F218</f>
        <v>FALSE</v>
      </c>
      <c r="G219" s="5" t="s">
        <v>2</v>
      </c>
      <c r="H219" s="7" t="b">
        <v>0</v>
      </c>
      <c r="I219" s="52" t="s">
        <v>536</v>
      </c>
      <c r="J219" s="48"/>
      <c r="K219" s="48"/>
      <c r="M219" s="52" t="s">
        <v>535</v>
      </c>
    </row>
    <row r="220" spans="1:18" ht="31.2">
      <c r="A220" s="3" cm="1">
        <f t="array" aca="1" ref="A220" ca="1">INDIRECT("A"&amp;ROW()-1)+1</f>
        <v>122</v>
      </c>
      <c r="B220" s="3">
        <f t="shared" ca="1" si="21"/>
        <v>122</v>
      </c>
      <c r="C220" s="3" t="str">
        <f ca="1">A218&amp;"==True"</f>
        <v>121==True</v>
      </c>
      <c r="D220" s="4" t="s">
        <v>300</v>
      </c>
      <c r="E220" s="11" t="s">
        <v>154</v>
      </c>
      <c r="F220" s="45" t="s">
        <v>132</v>
      </c>
      <c r="H220" s="15" t="s">
        <v>136</v>
      </c>
      <c r="I220" s="15"/>
      <c r="J220" s="44">
        <f>J218</f>
        <v>15</v>
      </c>
      <c r="K220" s="42" t="s">
        <v>431</v>
      </c>
      <c r="M220" s="38" t="s">
        <v>377</v>
      </c>
      <c r="N220" s="16"/>
      <c r="O220" s="8"/>
      <c r="P220" s="18"/>
      <c r="Q220" s="19" t="s">
        <v>228</v>
      </c>
    </row>
    <row r="221" spans="1:18" ht="31.2">
      <c r="A221" s="3" cm="1">
        <f t="array" aca="1" ref="A221" ca="1">INDIRECT("A"&amp;ROW()-1)+1</f>
        <v>123</v>
      </c>
      <c r="B221" s="3">
        <f t="shared" ca="1" si="21"/>
        <v>123</v>
      </c>
      <c r="C221" s="3" t="str">
        <f ca="1">A12&amp;"any['结构']"</f>
        <v>7any['结构']</v>
      </c>
      <c r="D221" s="4" t="s">
        <v>742</v>
      </c>
      <c r="E221" s="5" t="s">
        <v>5</v>
      </c>
      <c r="F221" s="56" t="s">
        <v>141</v>
      </c>
      <c r="G221" s="5" t="s">
        <v>1</v>
      </c>
      <c r="H221" s="7" t="b">
        <v>1</v>
      </c>
      <c r="I221" s="52" t="s">
        <v>316</v>
      </c>
      <c r="J221" s="43">
        <v>16</v>
      </c>
      <c r="K221" s="42" t="s">
        <v>424</v>
      </c>
      <c r="L221" s="70" t="s">
        <v>743</v>
      </c>
      <c r="M221" s="51"/>
      <c r="Q221" s="69" t="s">
        <v>737</v>
      </c>
    </row>
    <row r="222" spans="1:18">
      <c r="A222" s="3" cm="1">
        <f t="array" aca="1" ref="A222" ca="1">INDIRECT("A"&amp;ROW()-1)</f>
        <v>123</v>
      </c>
      <c r="B222" s="3" t="str">
        <f t="shared" ca="1" si="21"/>
        <v/>
      </c>
      <c r="F222" s="55" t="str">
        <f>F221</f>
        <v>FALSE</v>
      </c>
      <c r="G222" s="5" t="s">
        <v>2</v>
      </c>
      <c r="H222" s="7" t="b">
        <v>0</v>
      </c>
      <c r="I222" s="68" t="s">
        <v>665</v>
      </c>
      <c r="J222" s="43"/>
      <c r="K222" s="43"/>
      <c r="M222" s="70" t="s">
        <v>740</v>
      </c>
    </row>
    <row r="223" spans="1:18">
      <c r="A223" s="3" cm="1">
        <f t="array" aca="1" ref="A223" ca="1">INDIRECT("A"&amp;ROW()-1)+1</f>
        <v>124</v>
      </c>
      <c r="B223" s="3">
        <f t="shared" ca="1" si="21"/>
        <v>124</v>
      </c>
      <c r="C223" s="3" t="str">
        <f ca="1">A221&amp;"==True"</f>
        <v>123==True</v>
      </c>
      <c r="D223" s="4" t="s">
        <v>751</v>
      </c>
      <c r="E223" s="68" t="s">
        <v>5</v>
      </c>
      <c r="F223" s="56" t="s">
        <v>141</v>
      </c>
      <c r="G223" s="68" t="s">
        <v>750</v>
      </c>
      <c r="H223" s="68" t="s">
        <v>754</v>
      </c>
      <c r="I223" s="68" t="s">
        <v>756</v>
      </c>
      <c r="J223" s="43">
        <f>J221</f>
        <v>16</v>
      </c>
      <c r="K223" s="42" t="s">
        <v>424</v>
      </c>
      <c r="L223" s="51"/>
      <c r="M223" s="70" t="s">
        <v>758</v>
      </c>
      <c r="Q223" s="69" t="s">
        <v>763</v>
      </c>
    </row>
    <row r="224" spans="1:18">
      <c r="A224" s="3" cm="1">
        <f t="array" aca="1" ref="A224" ca="1">INDIRECT("A"&amp;ROW()-1)</f>
        <v>124</v>
      </c>
      <c r="B224" s="3" t="str">
        <f t="shared" ca="1" si="21"/>
        <v/>
      </c>
      <c r="E224" s="68"/>
      <c r="F224" s="56"/>
      <c r="G224" s="68" t="s">
        <v>753</v>
      </c>
      <c r="H224" s="68" t="s">
        <v>753</v>
      </c>
      <c r="I224" s="68" t="s">
        <v>753</v>
      </c>
      <c r="J224" s="43"/>
      <c r="K224" s="42"/>
      <c r="L224" s="51"/>
      <c r="M224" s="70" t="s">
        <v>757</v>
      </c>
      <c r="Q224" s="69"/>
    </row>
    <row r="225" spans="1:17">
      <c r="A225" s="3" cm="1">
        <f t="array" aca="1" ref="A225" ca="1">INDIRECT("A"&amp;ROW()-1)</f>
        <v>124</v>
      </c>
      <c r="B225" s="3" t="str">
        <f t="shared" ca="1" si="21"/>
        <v/>
      </c>
      <c r="F225" s="56" t="s">
        <v>141</v>
      </c>
      <c r="G225" s="68" t="s">
        <v>752</v>
      </c>
      <c r="H225" s="68" t="s">
        <v>752</v>
      </c>
      <c r="I225" s="68" t="s">
        <v>752</v>
      </c>
      <c r="J225" s="43"/>
      <c r="K225" s="42"/>
      <c r="L225" s="51"/>
      <c r="M225" s="70" t="s">
        <v>757</v>
      </c>
      <c r="Q225" s="36"/>
    </row>
    <row r="226" spans="1:17">
      <c r="A226" s="3" cm="1">
        <f t="array" aca="1" ref="A226" ca="1">INDIRECT("A"&amp;ROW()-1)+1</f>
        <v>125</v>
      </c>
      <c r="B226" s="3">
        <f t="shared" ca="1" si="21"/>
        <v>125</v>
      </c>
      <c r="C226" s="3" t="str">
        <f ca="1">A221&amp;"==True"</f>
        <v>123==True</v>
      </c>
      <c r="D226" s="4" t="s">
        <v>762</v>
      </c>
      <c r="E226" s="68" t="s">
        <v>5</v>
      </c>
      <c r="F226" s="56" t="s">
        <v>141</v>
      </c>
      <c r="G226" s="68" t="s">
        <v>755</v>
      </c>
      <c r="H226" s="7" t="b">
        <v>1</v>
      </c>
      <c r="I226" s="68" t="s">
        <v>761</v>
      </c>
      <c r="J226" s="43">
        <f>J223</f>
        <v>16</v>
      </c>
      <c r="K226" s="71" t="s">
        <v>765</v>
      </c>
      <c r="L226" s="51"/>
      <c r="M226" s="70" t="s">
        <v>759</v>
      </c>
      <c r="Q226" s="69" t="s">
        <v>764</v>
      </c>
    </row>
    <row r="227" spans="1:17">
      <c r="A227" s="3" cm="1">
        <f t="array" aca="1" ref="A227" ca="1">INDIRECT("A"&amp;ROW()-1)</f>
        <v>125</v>
      </c>
      <c r="B227" s="3" t="str">
        <f t="shared" ca="1" si="21"/>
        <v/>
      </c>
      <c r="F227" s="56" t="s">
        <v>141</v>
      </c>
      <c r="G227" s="68" t="s">
        <v>2</v>
      </c>
      <c r="H227" s="7" t="b">
        <v>0</v>
      </c>
      <c r="I227" s="68" t="s">
        <v>760</v>
      </c>
      <c r="J227" s="43"/>
      <c r="K227" s="43"/>
      <c r="M227" s="70" t="s">
        <v>759</v>
      </c>
    </row>
    <row r="228" spans="1:17" ht="42" customHeight="1">
      <c r="A228" s="3" cm="1">
        <f t="array" aca="1" ref="A228" ca="1">INDIRECT("A"&amp;ROW()-1)+1</f>
        <v>126</v>
      </c>
      <c r="B228" s="3">
        <f t="shared" ca="1" si="21"/>
        <v>126</v>
      </c>
      <c r="C228" s="3" t="str">
        <f ca="1">A226&amp;"==True"</f>
        <v>125==True</v>
      </c>
      <c r="D228" s="4" t="s">
        <v>767</v>
      </c>
      <c r="E228" s="68" t="s">
        <v>154</v>
      </c>
      <c r="F228" s="45" t="s">
        <v>132</v>
      </c>
      <c r="H228" s="15" t="s">
        <v>136</v>
      </c>
      <c r="I228" s="15"/>
      <c r="J228" s="44">
        <f>J226</f>
        <v>16</v>
      </c>
      <c r="K228" s="42" t="s">
        <v>424</v>
      </c>
      <c r="L228" s="51"/>
      <c r="M228" s="70" t="s">
        <v>768</v>
      </c>
      <c r="N228" s="16"/>
      <c r="O228" s="8"/>
      <c r="P228" s="22"/>
      <c r="Q228" s="69" t="s">
        <v>766</v>
      </c>
    </row>
    <row r="229" spans="1:17">
      <c r="A229" s="3" cm="1">
        <f t="array" aca="1" ref="A229" ca="1">INDIRECT("A"&amp;ROW()-1)+1</f>
        <v>127</v>
      </c>
      <c r="B229" s="3">
        <f t="shared" ca="1" si="21"/>
        <v>127</v>
      </c>
      <c r="C229" s="3" t="str">
        <f ca="1">A221&amp;"==True"</f>
        <v>123==True</v>
      </c>
      <c r="D229" s="4" t="s">
        <v>741</v>
      </c>
      <c r="E229" s="68" t="s">
        <v>6</v>
      </c>
      <c r="F229" s="56" t="s">
        <v>141</v>
      </c>
      <c r="G229" s="68" t="s">
        <v>499</v>
      </c>
      <c r="H229" s="68" t="s">
        <v>499</v>
      </c>
      <c r="I229" s="68" t="s">
        <v>499</v>
      </c>
      <c r="J229" s="43">
        <f>J221</f>
        <v>16</v>
      </c>
      <c r="K229" s="42" t="s">
        <v>424</v>
      </c>
      <c r="L229" s="51"/>
      <c r="M229" s="70" t="s">
        <v>739</v>
      </c>
      <c r="Q229" s="69" t="s">
        <v>738</v>
      </c>
    </row>
    <row r="230" spans="1:17" ht="31.2">
      <c r="A230" s="3" cm="1">
        <f t="array" aca="1" ref="A230" ca="1">INDIRECT("A"&amp;ROW()-1)</f>
        <v>127</v>
      </c>
      <c r="B230" s="3" t="str">
        <f t="shared" ca="1" si="21"/>
        <v/>
      </c>
      <c r="F230" s="56" t="s">
        <v>141</v>
      </c>
      <c r="G230" s="68" t="s">
        <v>735</v>
      </c>
      <c r="H230" s="68" t="s">
        <v>735</v>
      </c>
      <c r="I230" s="68" t="s">
        <v>735</v>
      </c>
      <c r="J230" s="43"/>
      <c r="K230" s="42"/>
      <c r="L230" s="51"/>
      <c r="M230" s="51"/>
      <c r="Q230" s="36"/>
    </row>
    <row r="231" spans="1:17" ht="31.2">
      <c r="A231" s="3" cm="1">
        <f t="array" aca="1" ref="A231" ca="1">INDIRECT("A"&amp;ROW()-1)</f>
        <v>127</v>
      </c>
      <c r="B231" s="3" t="str">
        <f t="shared" ca="1" si="21"/>
        <v/>
      </c>
      <c r="F231" s="56" t="s">
        <v>141</v>
      </c>
      <c r="G231" s="68" t="s">
        <v>734</v>
      </c>
      <c r="H231" s="68" t="s">
        <v>734</v>
      </c>
      <c r="I231" s="68" t="s">
        <v>734</v>
      </c>
      <c r="J231" s="43"/>
      <c r="K231" s="42"/>
      <c r="L231" s="51"/>
      <c r="M231" s="51"/>
      <c r="Q231" s="36"/>
    </row>
    <row r="232" spans="1:17" ht="31.2">
      <c r="A232" s="3" cm="1">
        <f t="array" aca="1" ref="A232" ca="1">INDIRECT("A"&amp;ROW()-1)</f>
        <v>127</v>
      </c>
      <c r="B232" s="3" t="str">
        <f t="shared" ca="1" si="21"/>
        <v/>
      </c>
      <c r="F232" s="56" t="s">
        <v>141</v>
      </c>
      <c r="G232" s="68" t="s">
        <v>736</v>
      </c>
      <c r="H232" s="68" t="s">
        <v>736</v>
      </c>
      <c r="I232" s="68" t="s">
        <v>736</v>
      </c>
      <c r="J232" s="43"/>
      <c r="K232" s="43"/>
      <c r="M232" s="51"/>
    </row>
    <row r="233" spans="1:17" ht="42" customHeight="1">
      <c r="A233" s="3" cm="1">
        <f t="array" aca="1" ref="A233" ca="1">INDIRECT("A"&amp;ROW()-1)+1</f>
        <v>128</v>
      </c>
      <c r="B233" s="3">
        <f t="shared" ca="1" si="21"/>
        <v>128</v>
      </c>
      <c r="C233" s="3" t="str">
        <f ca="1">A229&amp;"any['我司设计客户生产','我司设计与生产']"</f>
        <v>127any['我司设计客户生产','我司设计与生产']</v>
      </c>
      <c r="D233" s="4" t="s">
        <v>744</v>
      </c>
      <c r="E233" s="68" t="s">
        <v>154</v>
      </c>
      <c r="F233" s="45" t="s">
        <v>132</v>
      </c>
      <c r="H233" s="15" t="s">
        <v>136</v>
      </c>
      <c r="I233" s="15"/>
      <c r="J233" s="44">
        <f>J221</f>
        <v>16</v>
      </c>
      <c r="K233" s="42" t="s">
        <v>424</v>
      </c>
      <c r="L233" s="51"/>
      <c r="M233" s="70" t="s">
        <v>745</v>
      </c>
      <c r="N233" s="16"/>
      <c r="O233" s="8"/>
      <c r="P233" s="22"/>
      <c r="Q233" s="69" t="s">
        <v>746</v>
      </c>
    </row>
    <row r="234" spans="1:17" ht="42" customHeight="1">
      <c r="A234" s="3" cm="1">
        <f t="array" aca="1" ref="A234" ca="1">INDIRECT("A"&amp;ROW()-1)+1</f>
        <v>129</v>
      </c>
      <c r="B234" s="3">
        <f t="shared" ca="1" si="21"/>
        <v>129</v>
      </c>
      <c r="C234" s="3" t="str">
        <f ca="1">A229&amp;"any['客供','客户设计我司生产']"</f>
        <v>127any['客供','客户设计我司生产']</v>
      </c>
      <c r="D234" s="4" t="s">
        <v>747</v>
      </c>
      <c r="E234" s="68" t="s">
        <v>154</v>
      </c>
      <c r="F234" s="45" t="s">
        <v>132</v>
      </c>
      <c r="H234" s="15" t="s">
        <v>136</v>
      </c>
      <c r="I234" s="15"/>
      <c r="J234" s="44">
        <f>J229</f>
        <v>16</v>
      </c>
      <c r="K234" s="42" t="s">
        <v>424</v>
      </c>
      <c r="L234" s="51"/>
      <c r="M234" s="70" t="s">
        <v>748</v>
      </c>
      <c r="N234" s="16"/>
      <c r="O234" s="8"/>
      <c r="P234" s="22"/>
      <c r="Q234" s="69" t="s">
        <v>749</v>
      </c>
    </row>
    <row r="235" spans="1:17" ht="31.2">
      <c r="A235" s="3" cm="1">
        <f t="array" aca="1" ref="A235" ca="1">INDIRECT("A"&amp;ROW()-1)+1</f>
        <v>130</v>
      </c>
      <c r="B235" s="3">
        <f t="shared" ca="1" si="21"/>
        <v>130</v>
      </c>
      <c r="C235" s="3" t="str">
        <f ca="1">A15&amp;"any['结构','硬件','光学']"</f>
        <v>7any['结构','硬件','光学']</v>
      </c>
      <c r="D235" s="4" t="s">
        <v>809</v>
      </c>
      <c r="E235" s="68" t="s">
        <v>5</v>
      </c>
      <c r="F235" s="56" t="s">
        <v>141</v>
      </c>
      <c r="G235" s="5" t="s">
        <v>1</v>
      </c>
      <c r="H235" s="7" t="b">
        <v>1</v>
      </c>
      <c r="I235" s="37" t="s">
        <v>316</v>
      </c>
      <c r="J235" s="48">
        <v>17</v>
      </c>
      <c r="K235" s="71" t="s">
        <v>434</v>
      </c>
      <c r="L235" s="70" t="s">
        <v>811</v>
      </c>
      <c r="Q235" s="69" t="s">
        <v>813</v>
      </c>
    </row>
    <row r="236" spans="1:17">
      <c r="A236" s="3" cm="1">
        <f t="array" aca="1" ref="A236" ca="1">INDIRECT("A"&amp;ROW()-1)</f>
        <v>130</v>
      </c>
      <c r="B236" s="3" t="str">
        <f t="shared" ca="1" si="21"/>
        <v/>
      </c>
      <c r="F236" s="55" t="str">
        <f>F235</f>
        <v>FALSE</v>
      </c>
      <c r="G236" s="5" t="s">
        <v>2</v>
      </c>
      <c r="H236" s="7" t="b">
        <v>0</v>
      </c>
      <c r="I236" s="52" t="s">
        <v>520</v>
      </c>
      <c r="J236" s="48"/>
      <c r="K236" s="48"/>
      <c r="M236" s="70" t="s">
        <v>808</v>
      </c>
    </row>
    <row r="237" spans="1:17" ht="31.2">
      <c r="A237" s="3" cm="1">
        <f t="array" aca="1" ref="A237" ca="1">INDIRECT("A"&amp;ROW()-1)+1</f>
        <v>131</v>
      </c>
      <c r="B237" s="3">
        <f t="shared" ca="1" si="21"/>
        <v>131</v>
      </c>
      <c r="C237" s="3" t="str">
        <f ca="1">A235&amp;"==True"</f>
        <v>130==True</v>
      </c>
      <c r="D237" s="4" t="s">
        <v>810</v>
      </c>
      <c r="E237" s="11" t="s">
        <v>154</v>
      </c>
      <c r="F237" s="46" t="s">
        <v>132</v>
      </c>
      <c r="H237" s="15" t="s">
        <v>136</v>
      </c>
      <c r="I237" s="15"/>
      <c r="J237" s="44">
        <f>J235</f>
        <v>17</v>
      </c>
      <c r="K237" s="71" t="s">
        <v>434</v>
      </c>
      <c r="M237" s="70" t="s">
        <v>807</v>
      </c>
      <c r="N237" s="16"/>
      <c r="O237" s="8"/>
      <c r="P237" s="18"/>
      <c r="Q237" s="69" t="s">
        <v>812</v>
      </c>
    </row>
    <row r="238" spans="1:17" ht="31.2">
      <c r="A238" s="3" cm="1">
        <f t="array" aca="1" ref="A238" ca="1">INDIRECT("A"&amp;ROW()-1)+1</f>
        <v>132</v>
      </c>
      <c r="B238" s="3">
        <f t="shared" ca="1" si="21"/>
        <v>132</v>
      </c>
      <c r="C238" s="3" t="str">
        <f ca="1">A12&amp;"any['结构','光学','光源','硬件']"</f>
        <v>7any['结构','光学','光源','硬件']</v>
      </c>
      <c r="D238" s="4" t="s">
        <v>814</v>
      </c>
      <c r="E238" s="5" t="s">
        <v>5</v>
      </c>
      <c r="F238" s="56" t="s">
        <v>141</v>
      </c>
      <c r="G238" s="5" t="s">
        <v>1</v>
      </c>
      <c r="H238" s="7" t="b">
        <v>1</v>
      </c>
      <c r="I238" s="68" t="s">
        <v>815</v>
      </c>
      <c r="J238" s="48">
        <f>J235</f>
        <v>17</v>
      </c>
      <c r="K238" s="42" t="s">
        <v>424</v>
      </c>
      <c r="L238" s="70" t="s">
        <v>815</v>
      </c>
      <c r="M238" s="68" t="s">
        <v>816</v>
      </c>
      <c r="Q238" s="69" t="s">
        <v>819</v>
      </c>
    </row>
    <row r="239" spans="1:17">
      <c r="A239" s="3" cm="1">
        <f t="array" aca="1" ref="A239" ca="1">INDIRECT("A"&amp;ROW()-1)</f>
        <v>132</v>
      </c>
      <c r="B239" s="3" t="str">
        <f t="shared" ca="1" si="21"/>
        <v/>
      </c>
      <c r="F239" s="55" t="str">
        <f>F238</f>
        <v>FALSE</v>
      </c>
      <c r="G239" s="5" t="s">
        <v>2</v>
      </c>
      <c r="H239" s="7" t="b">
        <v>0</v>
      </c>
      <c r="I239" s="68" t="s">
        <v>818</v>
      </c>
      <c r="J239" s="48"/>
      <c r="K239" s="48"/>
      <c r="M239" s="68" t="s">
        <v>817</v>
      </c>
    </row>
    <row r="240" spans="1:17" ht="31.2">
      <c r="A240" s="3" cm="1">
        <f t="array" aca="1" ref="A240" ca="1">INDIRECT("A"&amp;ROW()-1)+1</f>
        <v>133</v>
      </c>
      <c r="B240" s="3">
        <f t="shared" ca="1" si="21"/>
        <v>133</v>
      </c>
      <c r="C240" s="3" t="str">
        <f ca="1">A12&amp;"any['结构','光学','光源','硬件']"</f>
        <v>7any['结构','光学','光源','硬件']</v>
      </c>
      <c r="D240" s="4" t="s">
        <v>829</v>
      </c>
      <c r="E240" s="11" t="s">
        <v>154</v>
      </c>
      <c r="F240" s="46" t="s">
        <v>132</v>
      </c>
      <c r="H240" s="15" t="s">
        <v>136</v>
      </c>
      <c r="I240" s="15"/>
      <c r="J240" s="44">
        <f>J238</f>
        <v>17</v>
      </c>
      <c r="K240" s="71" t="s">
        <v>820</v>
      </c>
      <c r="M240" s="70" t="s">
        <v>831</v>
      </c>
      <c r="N240" s="16"/>
      <c r="O240" s="8"/>
      <c r="P240" s="18"/>
      <c r="Q240" s="69" t="s">
        <v>830</v>
      </c>
    </row>
    <row r="241" spans="1:18">
      <c r="A241" s="3" cm="1">
        <f t="array" aca="1" ref="A241" ca="1">INDIRECT("A"&amp;ROW()-1)+1</f>
        <v>134</v>
      </c>
      <c r="B241" s="3">
        <f t="shared" ca="1" si="21"/>
        <v>134</v>
      </c>
      <c r="C241" s="3" t="str">
        <f ca="1">A12&amp;"any['硬件']"</f>
        <v>7any['硬件']</v>
      </c>
      <c r="D241" s="4" t="s">
        <v>14</v>
      </c>
      <c r="E241" s="5" t="s">
        <v>5</v>
      </c>
      <c r="F241" s="56" t="s">
        <v>141</v>
      </c>
      <c r="G241" s="5" t="s">
        <v>15</v>
      </c>
      <c r="H241" s="7" t="s">
        <v>59</v>
      </c>
      <c r="I241" s="52" t="s">
        <v>59</v>
      </c>
      <c r="J241" s="48">
        <v>21</v>
      </c>
      <c r="K241" s="42" t="s">
        <v>424</v>
      </c>
      <c r="L241" s="51"/>
      <c r="M241" s="52" t="s">
        <v>537</v>
      </c>
      <c r="Q241" s="19" t="s">
        <v>229</v>
      </c>
    </row>
    <row r="242" spans="1:18">
      <c r="A242" s="3" cm="1">
        <f t="array" aca="1" ref="A242" ca="1">INDIRECT("A"&amp;ROW()-1)</f>
        <v>134</v>
      </c>
      <c r="B242" s="3" t="str">
        <f t="shared" ca="1" si="21"/>
        <v/>
      </c>
      <c r="F242" s="55" t="str">
        <f>F241</f>
        <v>FALSE</v>
      </c>
      <c r="G242" s="5" t="s">
        <v>16</v>
      </c>
      <c r="H242" s="7" t="s">
        <v>60</v>
      </c>
      <c r="I242" s="52" t="s">
        <v>60</v>
      </c>
      <c r="J242" s="48"/>
      <c r="K242" s="48"/>
      <c r="L242" s="51"/>
      <c r="M242" s="52" t="s">
        <v>537</v>
      </c>
      <c r="Q242" s="26"/>
    </row>
    <row r="243" spans="1:18">
      <c r="A243" s="3" cm="1">
        <f t="array" aca="1" ref="A243" ca="1">INDIRECT("A"&amp;ROW()-1)+1</f>
        <v>135</v>
      </c>
      <c r="B243" s="3">
        <f t="shared" ca="1" si="21"/>
        <v>135</v>
      </c>
      <c r="C243" s="3" t="str">
        <f ca="1">A241&amp;"any['直流输入']"</f>
        <v>134any['直流输入']</v>
      </c>
      <c r="D243" s="4" t="s">
        <v>145</v>
      </c>
      <c r="E243" s="5" t="s">
        <v>5</v>
      </c>
      <c r="F243" s="56" t="s">
        <v>141</v>
      </c>
      <c r="G243" s="23" t="s">
        <v>146</v>
      </c>
      <c r="H243" s="37" t="s">
        <v>379</v>
      </c>
      <c r="I243" s="37" t="s">
        <v>379</v>
      </c>
      <c r="J243" s="48">
        <f>J241</f>
        <v>21</v>
      </c>
      <c r="K243" s="42" t="s">
        <v>424</v>
      </c>
      <c r="M243" s="38" t="s">
        <v>378</v>
      </c>
      <c r="Q243" s="19" t="s">
        <v>230</v>
      </c>
    </row>
    <row r="244" spans="1:18">
      <c r="A244" s="3" cm="1">
        <f t="array" aca="1" ref="A244" ca="1">INDIRECT("A"&amp;ROW()-1)</f>
        <v>135</v>
      </c>
      <c r="B244" s="3" t="str">
        <f t="shared" ca="1" si="21"/>
        <v/>
      </c>
      <c r="F244" s="55" t="str">
        <f>F243</f>
        <v>FALSE</v>
      </c>
      <c r="G244" s="23" t="s">
        <v>147</v>
      </c>
      <c r="H244" s="37" t="s">
        <v>380</v>
      </c>
      <c r="I244" s="37" t="s">
        <v>380</v>
      </c>
      <c r="J244" s="48"/>
      <c r="K244" s="48"/>
      <c r="M244" s="38" t="s">
        <v>378</v>
      </c>
      <c r="Q244" s="26"/>
    </row>
    <row r="245" spans="1:18">
      <c r="A245" s="3" cm="1">
        <f t="array" aca="1" ref="A245" ca="1">INDIRECT("A"&amp;ROW()-1)</f>
        <v>135</v>
      </c>
      <c r="B245" s="3" t="str">
        <f t="shared" ca="1" si="21"/>
        <v/>
      </c>
      <c r="F245" s="55" t="str">
        <f>F244</f>
        <v>FALSE</v>
      </c>
      <c r="G245" s="23" t="s">
        <v>150</v>
      </c>
      <c r="H245" s="37" t="s">
        <v>381</v>
      </c>
      <c r="I245" s="37" t="s">
        <v>381</v>
      </c>
      <c r="J245" s="48"/>
      <c r="K245" s="48"/>
      <c r="M245" s="38" t="s">
        <v>378</v>
      </c>
      <c r="Q245" s="26"/>
    </row>
    <row r="246" spans="1:18">
      <c r="A246" s="3" cm="1">
        <f t="array" aca="1" ref="A246" ca="1">INDIRECT("A"&amp;ROW()-1)</f>
        <v>135</v>
      </c>
      <c r="B246" s="3" t="str">
        <f t="shared" ca="1" si="21"/>
        <v/>
      </c>
      <c r="F246" s="55" t="str">
        <f>F245</f>
        <v>FALSE</v>
      </c>
      <c r="G246" s="23" t="s">
        <v>151</v>
      </c>
      <c r="H246" s="37" t="s">
        <v>382</v>
      </c>
      <c r="I246" s="37" t="s">
        <v>382</v>
      </c>
      <c r="J246" s="48"/>
      <c r="K246" s="48"/>
      <c r="M246" s="38" t="s">
        <v>378</v>
      </c>
      <c r="Q246" s="26"/>
    </row>
    <row r="247" spans="1:18">
      <c r="A247" s="3" cm="1">
        <f t="array" aca="1" ref="A247" ca="1">INDIRECT("A"&amp;ROW()-1)+1</f>
        <v>136</v>
      </c>
      <c r="B247" s="3">
        <f t="shared" ca="1" si="21"/>
        <v>136</v>
      </c>
      <c r="C247" s="3" t="str">
        <f ca="1">A241&amp;"any['交流输入']"</f>
        <v>134any['交流输入']</v>
      </c>
      <c r="D247" s="4" t="s">
        <v>231</v>
      </c>
      <c r="E247" s="5" t="s">
        <v>5</v>
      </c>
      <c r="F247" s="56" t="s">
        <v>141</v>
      </c>
      <c r="G247" s="23" t="s">
        <v>148</v>
      </c>
      <c r="H247" s="37" t="s">
        <v>149</v>
      </c>
      <c r="I247" s="37" t="s">
        <v>149</v>
      </c>
      <c r="J247" s="48">
        <f>J241</f>
        <v>21</v>
      </c>
      <c r="K247" s="42" t="s">
        <v>424</v>
      </c>
      <c r="M247" s="38" t="s">
        <v>383</v>
      </c>
      <c r="Q247" s="19" t="s">
        <v>232</v>
      </c>
    </row>
    <row r="248" spans="1:18">
      <c r="A248" s="3" cm="1">
        <f t="array" aca="1" ref="A248" ca="1">INDIRECT("A"&amp;ROW()-1)+1</f>
        <v>137</v>
      </c>
      <c r="B248" s="3">
        <f t="shared" ca="1" si="21"/>
        <v>137</v>
      </c>
      <c r="C248" s="3" t="str">
        <f ca="1">A12&amp;"any['光源','硬件']"</f>
        <v>7any['光源','硬件']</v>
      </c>
      <c r="D248" s="4" t="s">
        <v>235</v>
      </c>
      <c r="E248" s="5" t="s">
        <v>5</v>
      </c>
      <c r="F248" s="56" t="s">
        <v>141</v>
      </c>
      <c r="G248" s="5" t="s">
        <v>1</v>
      </c>
      <c r="H248" s="7" t="b">
        <v>1</v>
      </c>
      <c r="I248" s="37" t="s">
        <v>316</v>
      </c>
      <c r="J248" s="48">
        <f>J241</f>
        <v>21</v>
      </c>
      <c r="K248" s="42" t="s">
        <v>424</v>
      </c>
      <c r="L248" s="51"/>
      <c r="Q248" s="19" t="s">
        <v>236</v>
      </c>
    </row>
    <row r="249" spans="1:18">
      <c r="A249" s="3" cm="1">
        <f t="array" aca="1" ref="A249" ca="1">INDIRECT("A"&amp;ROW()-1)</f>
        <v>137</v>
      </c>
      <c r="B249" s="3" t="str">
        <f t="shared" ca="1" si="21"/>
        <v/>
      </c>
      <c r="F249" s="55" t="str">
        <f>F248</f>
        <v>FALSE</v>
      </c>
      <c r="G249" s="5" t="s">
        <v>2</v>
      </c>
      <c r="H249" s="7" t="b">
        <v>0</v>
      </c>
      <c r="I249" s="52" t="s">
        <v>550</v>
      </c>
      <c r="J249" s="48"/>
      <c r="K249" s="48"/>
      <c r="M249" s="51" t="s">
        <v>549</v>
      </c>
    </row>
    <row r="250" spans="1:18">
      <c r="A250" s="3" cm="1">
        <f t="array" aca="1" ref="A250" ca="1">INDIRECT("A"&amp;ROW()-1)+1</f>
        <v>138</v>
      </c>
      <c r="B250" s="3">
        <f t="shared" ca="1" si="21"/>
        <v>138</v>
      </c>
      <c r="C250" s="3" t="str">
        <f ca="1">A248&amp;"==True"</f>
        <v>137==True</v>
      </c>
      <c r="D250" s="4" t="s">
        <v>301</v>
      </c>
      <c r="E250" s="24" t="s">
        <v>153</v>
      </c>
      <c r="F250" s="56" t="s">
        <v>141</v>
      </c>
      <c r="H250" s="15" t="s">
        <v>136</v>
      </c>
      <c r="I250" s="15"/>
      <c r="J250" s="44">
        <f>J248</f>
        <v>21</v>
      </c>
      <c r="K250" s="42" t="s">
        <v>424</v>
      </c>
      <c r="M250" s="38" t="s">
        <v>386</v>
      </c>
      <c r="N250" s="16"/>
      <c r="O250" s="8"/>
      <c r="P250" s="22" t="s">
        <v>159</v>
      </c>
      <c r="Q250" s="79" t="s">
        <v>954</v>
      </c>
      <c r="R250" s="78" t="s">
        <v>968</v>
      </c>
    </row>
    <row r="251" spans="1:18" ht="31.2">
      <c r="A251" s="3" cm="1">
        <f t="array" aca="1" ref="A251" ca="1">INDIRECT("A"&amp;ROW()-1)+1</f>
        <v>139</v>
      </c>
      <c r="B251" s="3">
        <f t="shared" ca="1" si="21"/>
        <v>139</v>
      </c>
      <c r="C251" s="3" t="str">
        <f ca="1">A12&amp;"any['硬件']"</f>
        <v>7any['硬件']</v>
      </c>
      <c r="D251" s="4" t="s">
        <v>152</v>
      </c>
      <c r="E251" s="5" t="s">
        <v>5</v>
      </c>
      <c r="F251" s="56" t="s">
        <v>141</v>
      </c>
      <c r="G251" s="5" t="s">
        <v>1</v>
      </c>
      <c r="H251" s="7" t="b">
        <v>1</v>
      </c>
      <c r="I251" s="52" t="s">
        <v>539</v>
      </c>
      <c r="J251" s="48">
        <v>22</v>
      </c>
      <c r="K251" s="42" t="s">
        <v>426</v>
      </c>
      <c r="L251" s="51"/>
      <c r="M251" s="52" t="s">
        <v>538</v>
      </c>
      <c r="Q251" s="39" t="s">
        <v>233</v>
      </c>
    </row>
    <row r="252" spans="1:18">
      <c r="A252" s="3" cm="1">
        <f t="array" aca="1" ref="A252" ca="1">INDIRECT("A"&amp;ROW()-1)</f>
        <v>139</v>
      </c>
      <c r="B252" s="3" t="str">
        <f t="shared" ca="1" si="21"/>
        <v/>
      </c>
      <c r="F252" s="55" t="str">
        <f>F251</f>
        <v>FALSE</v>
      </c>
      <c r="G252" s="5" t="s">
        <v>2</v>
      </c>
      <c r="H252" s="7" t="b">
        <v>0</v>
      </c>
      <c r="I252" s="52" t="s">
        <v>541</v>
      </c>
      <c r="J252" s="48"/>
      <c r="K252" s="48"/>
      <c r="M252" s="52" t="s">
        <v>540</v>
      </c>
    </row>
    <row r="253" spans="1:18" ht="31.2">
      <c r="A253" s="3" cm="1">
        <f t="array" aca="1" ref="A253" ca="1">INDIRECT("A"&amp;ROW()-1)+1</f>
        <v>140</v>
      </c>
      <c r="B253" s="3">
        <f t="shared" ca="1" si="21"/>
        <v>140</v>
      </c>
      <c r="C253" s="3" t="str">
        <f ca="1">A251&amp;"==True"</f>
        <v>139==True</v>
      </c>
      <c r="D253" s="4" t="s">
        <v>384</v>
      </c>
      <c r="E253" s="5" t="s">
        <v>5</v>
      </c>
      <c r="F253" s="56" t="s">
        <v>141</v>
      </c>
      <c r="G253" s="29" t="s">
        <v>1</v>
      </c>
      <c r="H253" s="7" t="b">
        <v>1</v>
      </c>
      <c r="I253" s="52" t="s">
        <v>543</v>
      </c>
      <c r="J253" s="48">
        <f>J251</f>
        <v>22</v>
      </c>
      <c r="K253" s="42" t="s">
        <v>427</v>
      </c>
      <c r="M253" s="52" t="s">
        <v>542</v>
      </c>
      <c r="Q253" s="19" t="s">
        <v>234</v>
      </c>
    </row>
    <row r="254" spans="1:18">
      <c r="A254" s="3" cm="1">
        <f t="array" aca="1" ref="A254" ca="1">INDIRECT("A"&amp;ROW()-1)</f>
        <v>140</v>
      </c>
      <c r="B254" s="3" t="str">
        <f t="shared" ca="1" si="21"/>
        <v/>
      </c>
      <c r="F254" s="55" t="str">
        <f>F253</f>
        <v>FALSE</v>
      </c>
      <c r="G254" s="5" t="s">
        <v>2</v>
      </c>
      <c r="H254" s="7" t="b">
        <v>0</v>
      </c>
      <c r="I254" s="52" t="s">
        <v>545</v>
      </c>
      <c r="J254" s="48"/>
      <c r="K254" s="48"/>
      <c r="M254" s="52" t="s">
        <v>544</v>
      </c>
    </row>
    <row r="255" spans="1:18" ht="46.8">
      <c r="A255" s="3" cm="1">
        <f t="array" aca="1" ref="A255" ca="1">INDIRECT("A"&amp;ROW()-1)+1</f>
        <v>141</v>
      </c>
      <c r="B255" s="3">
        <f t="shared" ca="1" si="21"/>
        <v>141</v>
      </c>
      <c r="C255" s="3" t="str">
        <f ca="1">A251&amp;"!=True"</f>
        <v>139!=True</v>
      </c>
      <c r="D255" s="4" t="s">
        <v>385</v>
      </c>
      <c r="E255" s="5" t="s">
        <v>5</v>
      </c>
      <c r="F255" s="56" t="s">
        <v>141</v>
      </c>
      <c r="G255" s="5" t="s">
        <v>1</v>
      </c>
      <c r="H255" s="7" t="b">
        <v>1</v>
      </c>
      <c r="I255" s="52" t="s">
        <v>547</v>
      </c>
      <c r="J255" s="48">
        <f>J251</f>
        <v>22</v>
      </c>
      <c r="K255" s="42" t="s">
        <v>427</v>
      </c>
      <c r="M255" s="52" t="s">
        <v>546</v>
      </c>
      <c r="Q255" s="64" t="s">
        <v>638</v>
      </c>
    </row>
    <row r="256" spans="1:18">
      <c r="A256" s="3" cm="1">
        <f t="array" aca="1" ref="A256" ca="1">INDIRECT("A"&amp;ROW()-1)</f>
        <v>141</v>
      </c>
      <c r="B256" s="3" t="str">
        <f t="shared" ca="1" si="21"/>
        <v/>
      </c>
      <c r="F256" s="55" t="str">
        <f>F255</f>
        <v>FALSE</v>
      </c>
      <c r="G256" s="5" t="s">
        <v>2</v>
      </c>
      <c r="H256" s="7" t="b">
        <v>0</v>
      </c>
      <c r="I256" s="52" t="s">
        <v>545</v>
      </c>
      <c r="J256" s="48"/>
      <c r="K256" s="48"/>
      <c r="M256" s="52" t="s">
        <v>548</v>
      </c>
    </row>
    <row r="257" spans="1:17">
      <c r="A257" s="3" cm="1">
        <f t="array" aca="1" ref="A257" ca="1">INDIRECT("A"&amp;ROW()-1)+1</f>
        <v>142</v>
      </c>
      <c r="B257" s="3">
        <f t="shared" ca="1" si="21"/>
        <v>142</v>
      </c>
      <c r="C257" s="3" t="str">
        <f ca="1">A12&amp;"any['硬件']"</f>
        <v>7any['硬件']</v>
      </c>
      <c r="D257" s="4" t="s">
        <v>114</v>
      </c>
      <c r="E257" s="5" t="s">
        <v>5</v>
      </c>
      <c r="F257" s="56" t="s">
        <v>132</v>
      </c>
      <c r="G257" s="5" t="s">
        <v>1</v>
      </c>
      <c r="H257" s="7" t="b">
        <v>1</v>
      </c>
      <c r="I257" s="52" t="s">
        <v>519</v>
      </c>
      <c r="J257" s="48">
        <v>23</v>
      </c>
      <c r="K257" s="42" t="s">
        <v>432</v>
      </c>
      <c r="L257" s="51"/>
      <c r="M257" s="52" t="s">
        <v>551</v>
      </c>
      <c r="Q257" s="19" t="s">
        <v>237</v>
      </c>
    </row>
    <row r="258" spans="1:17">
      <c r="A258" s="3" cm="1">
        <f t="array" aca="1" ref="A258" ca="1">INDIRECT("A"&amp;ROW()-1)</f>
        <v>142</v>
      </c>
      <c r="B258" s="3" t="str">
        <f t="shared" ca="1" si="21"/>
        <v/>
      </c>
      <c r="F258" s="55" t="str">
        <f>F257</f>
        <v>TRUE</v>
      </c>
      <c r="G258" s="5" t="s">
        <v>2</v>
      </c>
      <c r="H258" s="7" t="b">
        <v>0</v>
      </c>
      <c r="I258" s="52" t="s">
        <v>520</v>
      </c>
      <c r="J258" s="48"/>
      <c r="K258" s="48"/>
      <c r="M258" s="52" t="s">
        <v>552</v>
      </c>
    </row>
    <row r="259" spans="1:17" ht="31.2">
      <c r="A259" s="3" cm="1">
        <f t="array" aca="1" ref="A259" ca="1">INDIRECT("A"&amp;ROW()-1)+1</f>
        <v>143</v>
      </c>
      <c r="B259" s="3">
        <f t="shared" ref="B259:B322" ca="1" si="22">IF(A259=A258,"",A259)</f>
        <v>143</v>
      </c>
      <c r="C259" s="3" t="str">
        <f ca="1">A12&amp;"any['硬件']"</f>
        <v>7any['硬件']</v>
      </c>
      <c r="D259" s="4" t="s">
        <v>387</v>
      </c>
      <c r="E259" s="5" t="s">
        <v>5</v>
      </c>
      <c r="F259" s="56" t="s">
        <v>141</v>
      </c>
      <c r="G259" s="5" t="s">
        <v>1</v>
      </c>
      <c r="H259" s="7" t="b">
        <v>1</v>
      </c>
      <c r="I259" s="37" t="s">
        <v>316</v>
      </c>
      <c r="J259" s="48">
        <f>J257</f>
        <v>23</v>
      </c>
      <c r="K259" s="42" t="s">
        <v>432</v>
      </c>
      <c r="L259" s="58" t="s">
        <v>606</v>
      </c>
      <c r="Q259" s="19" t="s">
        <v>238</v>
      </c>
    </row>
    <row r="260" spans="1:17">
      <c r="A260" s="3" cm="1">
        <f t="array" aca="1" ref="A260" ca="1">INDIRECT("A"&amp;ROW()-1)</f>
        <v>143</v>
      </c>
      <c r="B260" s="3" t="str">
        <f t="shared" ca="1" si="22"/>
        <v/>
      </c>
      <c r="F260" s="55" t="str">
        <f>F259</f>
        <v>FALSE</v>
      </c>
      <c r="G260" s="5" t="s">
        <v>2</v>
      </c>
      <c r="H260" s="7" t="b">
        <v>0</v>
      </c>
      <c r="I260" s="52" t="s">
        <v>550</v>
      </c>
      <c r="J260" s="48"/>
      <c r="K260" s="48"/>
      <c r="M260" s="51" t="s">
        <v>553</v>
      </c>
    </row>
    <row r="261" spans="1:17">
      <c r="A261" s="3" cm="1">
        <f t="array" aca="1" ref="A261" ca="1">INDIRECT("A"&amp;ROW()-1)+1</f>
        <v>144</v>
      </c>
      <c r="B261" s="3">
        <f t="shared" ca="1" si="22"/>
        <v>144</v>
      </c>
      <c r="C261" s="3" t="str">
        <f ca="1">A259&amp;"==True"</f>
        <v>143==True</v>
      </c>
      <c r="D261" s="4" t="s">
        <v>388</v>
      </c>
      <c r="E261" s="11" t="s">
        <v>154</v>
      </c>
      <c r="F261" s="57" t="s">
        <v>132</v>
      </c>
      <c r="H261" s="15" t="s">
        <v>136</v>
      </c>
      <c r="I261" s="15"/>
      <c r="J261" s="44">
        <f>J259</f>
        <v>23</v>
      </c>
      <c r="K261" s="42" t="s">
        <v>432</v>
      </c>
      <c r="M261" s="38" t="s">
        <v>389</v>
      </c>
      <c r="N261" s="16"/>
      <c r="O261" s="8"/>
      <c r="P261" s="18"/>
      <c r="Q261" s="19" t="s">
        <v>239</v>
      </c>
    </row>
    <row r="262" spans="1:17" ht="69" customHeight="1">
      <c r="A262" s="3" cm="1">
        <f t="array" aca="1" ref="A262" ca="1">INDIRECT("A"&amp;ROW()-1)+1</f>
        <v>145</v>
      </c>
      <c r="B262" s="3">
        <f t="shared" ca="1" si="22"/>
        <v>145</v>
      </c>
      <c r="C262" s="3" t="str">
        <f ca="1">A12&amp;"any['硬件','软件']"</f>
        <v>7any['硬件','软件']</v>
      </c>
      <c r="D262" s="4" t="s">
        <v>859</v>
      </c>
      <c r="E262" s="5" t="s">
        <v>5</v>
      </c>
      <c r="F262" s="56" t="s">
        <v>141</v>
      </c>
      <c r="G262" s="5" t="s">
        <v>1</v>
      </c>
      <c r="H262" s="7" t="b">
        <v>1</v>
      </c>
      <c r="I262" s="37" t="s">
        <v>316</v>
      </c>
      <c r="J262" s="48">
        <v>24</v>
      </c>
      <c r="K262" s="71" t="s">
        <v>433</v>
      </c>
      <c r="L262" s="70" t="s">
        <v>860</v>
      </c>
      <c r="Q262" s="69" t="s">
        <v>863</v>
      </c>
    </row>
    <row r="263" spans="1:17">
      <c r="A263" s="3" cm="1">
        <f t="array" aca="1" ref="A263" ca="1">INDIRECT("A"&amp;ROW()-1)</f>
        <v>145</v>
      </c>
      <c r="B263" s="3" t="str">
        <f t="shared" ca="1" si="22"/>
        <v/>
      </c>
      <c r="F263" s="55" t="str">
        <f>F262</f>
        <v>FALSE</v>
      </c>
      <c r="G263" s="5" t="s">
        <v>2</v>
      </c>
      <c r="H263" s="7" t="b">
        <v>0</v>
      </c>
      <c r="I263" s="68" t="s">
        <v>106</v>
      </c>
      <c r="J263" s="48"/>
      <c r="K263" s="48"/>
      <c r="M263" s="70" t="s">
        <v>861</v>
      </c>
    </row>
    <row r="264" spans="1:17" ht="31.2">
      <c r="A264" s="3" cm="1">
        <f t="array" aca="1" ref="A264" ca="1">INDIRECT("A"&amp;ROW()-1)+1</f>
        <v>146</v>
      </c>
      <c r="B264" s="3">
        <f t="shared" ca="1" si="22"/>
        <v>146</v>
      </c>
      <c r="C264" s="3" t="str">
        <f ca="1">A262&amp;"==True"</f>
        <v>145==True</v>
      </c>
      <c r="D264" s="4" t="s">
        <v>865</v>
      </c>
      <c r="E264" s="11" t="s">
        <v>154</v>
      </c>
      <c r="F264" s="45" t="s">
        <v>132</v>
      </c>
      <c r="H264" s="15" t="s">
        <v>136</v>
      </c>
      <c r="I264" s="15"/>
      <c r="J264" s="44">
        <f>J262</f>
        <v>24</v>
      </c>
      <c r="K264" s="71" t="s">
        <v>433</v>
      </c>
      <c r="M264" s="70" t="s">
        <v>862</v>
      </c>
      <c r="N264" s="16"/>
      <c r="O264" s="8"/>
      <c r="P264" s="18"/>
      <c r="Q264" s="69" t="s">
        <v>864</v>
      </c>
    </row>
    <row r="265" spans="1:17" ht="69" customHeight="1">
      <c r="A265" s="3" cm="1">
        <f t="array" aca="1" ref="A265" ca="1">INDIRECT("A"&amp;ROW()-1)+1</f>
        <v>147</v>
      </c>
      <c r="B265" s="3">
        <f t="shared" ca="1" si="22"/>
        <v>147</v>
      </c>
      <c r="C265" s="3" t="str">
        <f ca="1">A12&amp;"any['硬件','软件']"</f>
        <v>7any['硬件','软件']</v>
      </c>
      <c r="D265" s="4" t="s">
        <v>844</v>
      </c>
      <c r="E265" s="5" t="s">
        <v>5</v>
      </c>
      <c r="F265" s="56" t="s">
        <v>141</v>
      </c>
      <c r="G265" s="5" t="s">
        <v>1</v>
      </c>
      <c r="H265" s="7" t="b">
        <v>1</v>
      </c>
      <c r="I265" s="37" t="s">
        <v>316</v>
      </c>
      <c r="J265" s="48">
        <f>J262</f>
        <v>24</v>
      </c>
      <c r="K265" s="71" t="s">
        <v>433</v>
      </c>
      <c r="L265" s="70" t="s">
        <v>847</v>
      </c>
      <c r="Q265" s="69" t="s">
        <v>856</v>
      </c>
    </row>
    <row r="266" spans="1:17">
      <c r="A266" s="3" cm="1">
        <f t="array" aca="1" ref="A266" ca="1">INDIRECT("A"&amp;ROW()-1)</f>
        <v>147</v>
      </c>
      <c r="B266" s="3" t="str">
        <f t="shared" ca="1" si="22"/>
        <v/>
      </c>
      <c r="F266" s="55" t="str">
        <f>F265</f>
        <v>FALSE</v>
      </c>
      <c r="G266" s="5" t="s">
        <v>2</v>
      </c>
      <c r="H266" s="7" t="b">
        <v>0</v>
      </c>
      <c r="I266" s="68" t="s">
        <v>846</v>
      </c>
      <c r="J266" s="48"/>
      <c r="K266" s="48"/>
      <c r="M266" s="70" t="s">
        <v>848</v>
      </c>
    </row>
    <row r="267" spans="1:17" ht="31.2">
      <c r="A267" s="3" cm="1">
        <f t="array" aca="1" ref="A267" ca="1">INDIRECT("A"&amp;ROW()-1)+1</f>
        <v>148</v>
      </c>
      <c r="B267" s="3">
        <f t="shared" ca="1" si="22"/>
        <v>148</v>
      </c>
      <c r="C267" s="3" t="str">
        <f ca="1">A265&amp;"==True"</f>
        <v>147==True</v>
      </c>
      <c r="D267" s="4" t="s">
        <v>845</v>
      </c>
      <c r="E267" s="11" t="s">
        <v>154</v>
      </c>
      <c r="F267" s="45" t="s">
        <v>132</v>
      </c>
      <c r="H267" s="15" t="s">
        <v>136</v>
      </c>
      <c r="I267" s="15"/>
      <c r="J267" s="44">
        <f>J265</f>
        <v>24</v>
      </c>
      <c r="K267" s="71" t="s">
        <v>433</v>
      </c>
      <c r="M267" s="70" t="s">
        <v>849</v>
      </c>
      <c r="N267" s="16"/>
      <c r="O267" s="8"/>
      <c r="P267" s="18"/>
      <c r="Q267" s="69" t="s">
        <v>850</v>
      </c>
    </row>
    <row r="268" spans="1:17" ht="69" customHeight="1">
      <c r="A268" s="3" cm="1">
        <f t="array" aca="1" ref="A268" ca="1">INDIRECT("A"&amp;ROW()-1)+1</f>
        <v>149</v>
      </c>
      <c r="B268" s="3">
        <f t="shared" ca="1" si="22"/>
        <v>149</v>
      </c>
      <c r="C268" s="3" t="str">
        <f ca="1">A15&amp;"any['硬件','软件']"</f>
        <v>7any['硬件','软件']</v>
      </c>
      <c r="D268" s="4" t="s">
        <v>852</v>
      </c>
      <c r="E268" s="5" t="s">
        <v>5</v>
      </c>
      <c r="F268" s="56" t="s">
        <v>141</v>
      </c>
      <c r="G268" s="5" t="s">
        <v>1</v>
      </c>
      <c r="H268" s="7" t="b">
        <v>1</v>
      </c>
      <c r="I268" s="37" t="s">
        <v>316</v>
      </c>
      <c r="J268" s="48">
        <f>J262</f>
        <v>24</v>
      </c>
      <c r="K268" s="71" t="s">
        <v>433</v>
      </c>
      <c r="L268" s="70" t="s">
        <v>853</v>
      </c>
      <c r="Q268" s="69" t="s">
        <v>857</v>
      </c>
    </row>
    <row r="269" spans="1:17">
      <c r="A269" s="3" cm="1">
        <f t="array" aca="1" ref="A269" ca="1">INDIRECT("A"&amp;ROW()-1)</f>
        <v>149</v>
      </c>
      <c r="B269" s="3" t="str">
        <f t="shared" ca="1" si="22"/>
        <v/>
      </c>
      <c r="F269" s="55" t="str">
        <f>F268</f>
        <v>FALSE</v>
      </c>
      <c r="G269" s="5" t="s">
        <v>2</v>
      </c>
      <c r="H269" s="7" t="b">
        <v>0</v>
      </c>
      <c r="I269" s="68" t="s">
        <v>846</v>
      </c>
      <c r="J269" s="48"/>
      <c r="K269" s="48"/>
      <c r="M269" s="70" t="s">
        <v>854</v>
      </c>
    </row>
    <row r="270" spans="1:17" ht="31.2">
      <c r="A270" s="3" cm="1">
        <f t="array" aca="1" ref="A270" ca="1">INDIRECT("A"&amp;ROW()-1)+1</f>
        <v>150</v>
      </c>
      <c r="B270" s="3">
        <f t="shared" ca="1" si="22"/>
        <v>150</v>
      </c>
      <c r="C270" s="3" t="str">
        <f ca="1">A268&amp;"==True"</f>
        <v>149==True</v>
      </c>
      <c r="D270" s="4" t="s">
        <v>851</v>
      </c>
      <c r="E270" s="11" t="s">
        <v>154</v>
      </c>
      <c r="F270" s="45" t="s">
        <v>132</v>
      </c>
      <c r="H270" s="15" t="s">
        <v>136</v>
      </c>
      <c r="I270" s="15"/>
      <c r="J270" s="44">
        <f>J268</f>
        <v>24</v>
      </c>
      <c r="K270" s="71" t="s">
        <v>433</v>
      </c>
      <c r="M270" s="70" t="s">
        <v>855</v>
      </c>
      <c r="N270" s="16"/>
      <c r="O270" s="8"/>
      <c r="P270" s="18"/>
      <c r="Q270" s="69" t="s">
        <v>858</v>
      </c>
    </row>
    <row r="271" spans="1:17" ht="31.2">
      <c r="A271" s="3" cm="1">
        <f t="array" aca="1" ref="A271" ca="1">INDIRECT("A"&amp;ROW()-1)+1</f>
        <v>151</v>
      </c>
      <c r="B271" s="3">
        <f t="shared" ca="1" si="22"/>
        <v>151</v>
      </c>
      <c r="C271" s="3" t="str">
        <f ca="1">A12&amp;"any['硬件']"</f>
        <v>7any['硬件']</v>
      </c>
      <c r="D271" s="4" t="s">
        <v>18</v>
      </c>
      <c r="E271" s="5" t="s">
        <v>6</v>
      </c>
      <c r="F271" s="56" t="s">
        <v>141</v>
      </c>
      <c r="G271" s="5" t="s">
        <v>20</v>
      </c>
      <c r="H271" s="7" t="s">
        <v>19</v>
      </c>
      <c r="I271" s="7" t="s">
        <v>19</v>
      </c>
      <c r="J271" s="3">
        <v>25</v>
      </c>
      <c r="K271" s="66" t="s">
        <v>433</v>
      </c>
      <c r="M271" s="67" t="s">
        <v>390</v>
      </c>
      <c r="Q271" s="19" t="s">
        <v>240</v>
      </c>
    </row>
    <row r="272" spans="1:17">
      <c r="A272" s="3" cm="1">
        <f t="array" aca="1" ref="A272" ca="1">INDIRECT("A"&amp;ROW()-1)</f>
        <v>151</v>
      </c>
      <c r="B272" s="3" t="str">
        <f t="shared" ca="1" si="22"/>
        <v/>
      </c>
      <c r="F272" s="55" t="str">
        <f>F271</f>
        <v>FALSE</v>
      </c>
      <c r="G272" s="65" t="s">
        <v>21</v>
      </c>
      <c r="H272" s="7" t="s">
        <v>21</v>
      </c>
      <c r="I272" s="7" t="s">
        <v>21</v>
      </c>
    </row>
    <row r="273" spans="1:17">
      <c r="A273" s="3" cm="1">
        <f t="array" aca="1" ref="A273" ca="1">INDIRECT("A"&amp;ROW()-1)</f>
        <v>151</v>
      </c>
      <c r="B273" s="3" t="str">
        <f t="shared" ca="1" si="22"/>
        <v/>
      </c>
      <c r="F273" s="55" t="str">
        <f>F272</f>
        <v>FALSE</v>
      </c>
      <c r="G273" s="5" t="s">
        <v>23</v>
      </c>
      <c r="H273" s="7" t="s">
        <v>22</v>
      </c>
      <c r="I273" s="7" t="s">
        <v>22</v>
      </c>
    </row>
    <row r="274" spans="1:17">
      <c r="A274" s="3" cm="1">
        <f t="array" aca="1" ref="A274" ca="1">INDIRECT("A"&amp;ROW()-1)</f>
        <v>151</v>
      </c>
      <c r="B274" s="3" t="str">
        <f t="shared" ca="1" si="22"/>
        <v/>
      </c>
      <c r="F274" s="55" t="str">
        <f t="shared" ref="F274:F317" si="23">F273</f>
        <v>FALSE</v>
      </c>
      <c r="G274" s="5" t="s">
        <v>25</v>
      </c>
      <c r="H274" s="7" t="s">
        <v>24</v>
      </c>
      <c r="I274" s="7" t="s">
        <v>24</v>
      </c>
    </row>
    <row r="275" spans="1:17">
      <c r="A275" s="3" cm="1">
        <f t="array" aca="1" ref="A275" ca="1">INDIRECT("A"&amp;ROW()-1)</f>
        <v>151</v>
      </c>
      <c r="B275" s="3" t="str">
        <f t="shared" ca="1" si="22"/>
        <v/>
      </c>
      <c r="F275" s="55" t="str">
        <f t="shared" si="23"/>
        <v>FALSE</v>
      </c>
      <c r="G275" s="5" t="s">
        <v>27</v>
      </c>
      <c r="H275" s="7" t="s">
        <v>26</v>
      </c>
      <c r="I275" s="7" t="s">
        <v>26</v>
      </c>
    </row>
    <row r="276" spans="1:17">
      <c r="A276" s="3" cm="1">
        <f t="array" aca="1" ref="A276" ca="1">INDIRECT("A"&amp;ROW()-1)</f>
        <v>151</v>
      </c>
      <c r="B276" s="3" t="str">
        <f t="shared" ca="1" si="22"/>
        <v/>
      </c>
      <c r="F276" s="55" t="str">
        <f t="shared" si="23"/>
        <v>FALSE</v>
      </c>
      <c r="G276" s="65" t="s">
        <v>646</v>
      </c>
      <c r="H276" s="65" t="s">
        <v>645</v>
      </c>
      <c r="I276" s="65" t="s">
        <v>645</v>
      </c>
    </row>
    <row r="277" spans="1:17">
      <c r="A277" s="3" cm="1">
        <f t="array" aca="1" ref="A277" ca="1">INDIRECT("A"&amp;ROW()-1)</f>
        <v>151</v>
      </c>
      <c r="B277" s="3" t="str">
        <f t="shared" ca="1" si="22"/>
        <v/>
      </c>
      <c r="F277" s="55" t="str">
        <f t="shared" si="23"/>
        <v>FALSE</v>
      </c>
      <c r="G277" s="5" t="s">
        <v>29</v>
      </c>
      <c r="H277" s="7" t="s">
        <v>28</v>
      </c>
      <c r="I277" s="7" t="s">
        <v>28</v>
      </c>
    </row>
    <row r="278" spans="1:17">
      <c r="A278" s="3" cm="1">
        <f t="array" aca="1" ref="A278" ca="1">INDIRECT("A"&amp;ROW()-1)</f>
        <v>151</v>
      </c>
      <c r="B278" s="3" t="str">
        <f t="shared" ca="1" si="22"/>
        <v/>
      </c>
      <c r="F278" s="55" t="str">
        <f t="shared" si="23"/>
        <v>FALSE</v>
      </c>
      <c r="G278" s="5" t="s">
        <v>31</v>
      </c>
      <c r="H278" s="7" t="s">
        <v>30</v>
      </c>
      <c r="I278" s="7" t="s">
        <v>30</v>
      </c>
    </row>
    <row r="279" spans="1:17">
      <c r="A279" s="3" cm="1">
        <f t="array" aca="1" ref="A279" ca="1">INDIRECT("A"&amp;ROW()-1)</f>
        <v>151</v>
      </c>
      <c r="B279" s="3" t="str">
        <f t="shared" ca="1" si="22"/>
        <v/>
      </c>
      <c r="F279" s="55" t="str">
        <f t="shared" si="23"/>
        <v>FALSE</v>
      </c>
      <c r="G279" s="5" t="s">
        <v>33</v>
      </c>
      <c r="H279" s="7" t="s">
        <v>32</v>
      </c>
      <c r="I279" s="7" t="s">
        <v>32</v>
      </c>
    </row>
    <row r="280" spans="1:17">
      <c r="A280" s="3" cm="1">
        <f t="array" aca="1" ref="A280" ca="1">INDIRECT("A"&amp;ROW()-1)</f>
        <v>151</v>
      </c>
      <c r="B280" s="3" t="str">
        <f t="shared" ca="1" si="22"/>
        <v/>
      </c>
      <c r="F280" s="55" t="str">
        <f t="shared" si="23"/>
        <v>FALSE</v>
      </c>
      <c r="G280" s="5" t="s">
        <v>35</v>
      </c>
      <c r="H280" s="7" t="s">
        <v>34</v>
      </c>
      <c r="I280" s="7" t="s">
        <v>34</v>
      </c>
    </row>
    <row r="281" spans="1:17">
      <c r="A281" s="3" cm="1">
        <f t="array" aca="1" ref="A281" ca="1">INDIRECT("A"&amp;ROW()-1)</f>
        <v>151</v>
      </c>
      <c r="B281" s="3" t="str">
        <f t="shared" ca="1" si="22"/>
        <v/>
      </c>
      <c r="F281" s="55" t="str">
        <f t="shared" si="23"/>
        <v>FALSE</v>
      </c>
      <c r="G281" s="65" t="s">
        <v>639</v>
      </c>
      <c r="H281" s="65" t="s">
        <v>639</v>
      </c>
      <c r="I281" s="65" t="s">
        <v>639</v>
      </c>
    </row>
    <row r="282" spans="1:17">
      <c r="A282" s="3" cm="1">
        <f t="array" aca="1" ref="A282" ca="1">INDIRECT("A"&amp;ROW()-1)</f>
        <v>151</v>
      </c>
      <c r="B282" s="3" t="str">
        <f t="shared" ca="1" si="22"/>
        <v/>
      </c>
      <c r="F282" s="55" t="str">
        <f t="shared" si="23"/>
        <v>FALSE</v>
      </c>
      <c r="G282" s="5" t="s">
        <v>37</v>
      </c>
      <c r="H282" s="7" t="s">
        <v>36</v>
      </c>
      <c r="I282" s="7" t="s">
        <v>36</v>
      </c>
    </row>
    <row r="283" spans="1:17">
      <c r="A283" s="3" cm="1">
        <f t="array" aca="1" ref="A283" ca="1">INDIRECT("A"&amp;ROW()-1)</f>
        <v>151</v>
      </c>
      <c r="B283" s="3" t="str">
        <f t="shared" ca="1" si="22"/>
        <v/>
      </c>
      <c r="F283" s="55" t="str">
        <f t="shared" si="23"/>
        <v>FALSE</v>
      </c>
      <c r="G283" s="5" t="s">
        <v>39</v>
      </c>
      <c r="H283" s="7" t="s">
        <v>38</v>
      </c>
      <c r="I283" s="7" t="s">
        <v>38</v>
      </c>
    </row>
    <row r="284" spans="1:17">
      <c r="A284" s="3" cm="1">
        <f t="array" aca="1" ref="A284" ca="1">INDIRECT("A"&amp;ROW()-1)</f>
        <v>151</v>
      </c>
      <c r="B284" s="3" t="str">
        <f t="shared" ca="1" si="22"/>
        <v/>
      </c>
      <c r="F284" s="55" t="str">
        <f t="shared" si="23"/>
        <v>FALSE</v>
      </c>
      <c r="G284" s="5" t="s">
        <v>41</v>
      </c>
      <c r="H284" s="7" t="s">
        <v>40</v>
      </c>
      <c r="I284" s="7" t="s">
        <v>40</v>
      </c>
    </row>
    <row r="285" spans="1:17">
      <c r="A285" s="3" cm="1">
        <f t="array" aca="1" ref="A285" ca="1">INDIRECT("A"&amp;ROW()-1)</f>
        <v>151</v>
      </c>
      <c r="B285" s="3" t="str">
        <f t="shared" ca="1" si="22"/>
        <v/>
      </c>
      <c r="F285" s="55" t="str">
        <f t="shared" si="23"/>
        <v>FALSE</v>
      </c>
      <c r="G285" s="5" t="s">
        <v>43</v>
      </c>
      <c r="H285" s="7" t="s">
        <v>42</v>
      </c>
      <c r="I285" s="7" t="s">
        <v>42</v>
      </c>
    </row>
    <row r="286" spans="1:17">
      <c r="A286" s="3" cm="1">
        <f t="array" aca="1" ref="A286" ca="1">INDIRECT("A"&amp;ROW()-1)</f>
        <v>151</v>
      </c>
      <c r="B286" s="3" t="str">
        <f t="shared" ca="1" si="22"/>
        <v/>
      </c>
      <c r="F286" s="55" t="str">
        <f t="shared" si="23"/>
        <v>FALSE</v>
      </c>
      <c r="G286" s="5" t="s">
        <v>45</v>
      </c>
      <c r="H286" s="7" t="s">
        <v>44</v>
      </c>
      <c r="I286" s="7" t="s">
        <v>44</v>
      </c>
    </row>
    <row r="287" spans="1:17">
      <c r="A287" s="3" cm="1">
        <f t="array" aca="1" ref="A287" ca="1">INDIRECT("A"&amp;ROW()-1)</f>
        <v>151</v>
      </c>
      <c r="B287" s="3" t="str">
        <f t="shared" ca="1" si="22"/>
        <v/>
      </c>
      <c r="F287" s="55" t="str">
        <f t="shared" si="23"/>
        <v>FALSE</v>
      </c>
      <c r="G287" s="5" t="s">
        <v>47</v>
      </c>
      <c r="H287" s="7" t="s">
        <v>46</v>
      </c>
      <c r="I287" s="7" t="s">
        <v>46</v>
      </c>
    </row>
    <row r="288" spans="1:17" ht="31.2">
      <c r="A288" s="3" cm="1">
        <f t="array" aca="1" ref="A288" ca="1">INDIRECT("A"&amp;ROW()-1)+1</f>
        <v>152</v>
      </c>
      <c r="B288" s="3">
        <f t="shared" ca="1" si="22"/>
        <v>152</v>
      </c>
      <c r="C288" s="3" t="str">
        <f ca="1">A271&amp;"any['以太网','LAN']"</f>
        <v>151any['以太网','LAN']</v>
      </c>
      <c r="D288" s="4" t="s">
        <v>640</v>
      </c>
      <c r="E288" s="65" t="s">
        <v>6</v>
      </c>
      <c r="F288" s="56" t="s">
        <v>141</v>
      </c>
      <c r="G288" s="65" t="s">
        <v>641</v>
      </c>
      <c r="H288" s="65" t="s">
        <v>641</v>
      </c>
      <c r="I288" s="65" t="s">
        <v>641</v>
      </c>
      <c r="J288" s="48">
        <f>J271</f>
        <v>25</v>
      </c>
      <c r="K288" s="66" t="s">
        <v>433</v>
      </c>
      <c r="L288" s="58"/>
      <c r="M288" s="67" t="s">
        <v>643</v>
      </c>
      <c r="Q288" s="64" t="s">
        <v>644</v>
      </c>
    </row>
    <row r="289" spans="1:17">
      <c r="A289" s="3" cm="1">
        <f t="array" aca="1" ref="A289" ca="1">INDIRECT("A"&amp;ROW()-1)</f>
        <v>152</v>
      </c>
      <c r="B289" s="3" t="str">
        <f t="shared" ca="1" si="22"/>
        <v/>
      </c>
      <c r="F289" s="55" t="str">
        <f t="shared" si="23"/>
        <v>FALSE</v>
      </c>
      <c r="G289" s="65" t="s">
        <v>642</v>
      </c>
      <c r="H289" s="65" t="s">
        <v>642</v>
      </c>
      <c r="I289" s="65" t="s">
        <v>642</v>
      </c>
      <c r="J289" s="48"/>
      <c r="K289" s="48"/>
      <c r="M289" s="51"/>
    </row>
    <row r="290" spans="1:17" ht="31.2">
      <c r="A290" s="3" cm="1">
        <f t="array" aca="1" ref="A290" ca="1">INDIRECT("A"&amp;ROW()-1)+1</f>
        <v>153</v>
      </c>
      <c r="B290" s="3">
        <f t="shared" ca="1" si="22"/>
        <v>153</v>
      </c>
      <c r="C290" s="3" t="str">
        <f ca="1">A271&amp;"any['以太网','LAN']"</f>
        <v>151any['以太网','LAN']</v>
      </c>
      <c r="D290" s="4" t="s">
        <v>881</v>
      </c>
      <c r="E290" s="11" t="s">
        <v>154</v>
      </c>
      <c r="F290" s="45" t="s">
        <v>132</v>
      </c>
      <c r="H290" s="15" t="s">
        <v>136</v>
      </c>
      <c r="I290" s="15"/>
      <c r="J290" s="44">
        <f>J271</f>
        <v>25</v>
      </c>
      <c r="K290" s="71" t="s">
        <v>433</v>
      </c>
      <c r="M290" s="70" t="s">
        <v>887</v>
      </c>
      <c r="N290" s="16"/>
      <c r="O290" s="8"/>
      <c r="P290" s="18"/>
      <c r="Q290" s="69" t="s">
        <v>882</v>
      </c>
    </row>
    <row r="291" spans="1:17" ht="31.2">
      <c r="A291" s="3" cm="1">
        <f t="array" aca="1" ref="A291" ca="1">INDIRECT("A"&amp;ROW()-1)+1</f>
        <v>154</v>
      </c>
      <c r="B291" s="3">
        <f t="shared" ca="1" si="22"/>
        <v>154</v>
      </c>
      <c r="C291" s="3" t="str">
        <f ca="1">A271&amp;"any['CAN']"</f>
        <v>151any['CAN']</v>
      </c>
      <c r="D291" s="4" t="s">
        <v>885</v>
      </c>
      <c r="E291" s="11" t="s">
        <v>154</v>
      </c>
      <c r="F291" s="45" t="s">
        <v>132</v>
      </c>
      <c r="H291" s="15" t="s">
        <v>136</v>
      </c>
      <c r="I291" s="15"/>
      <c r="J291" s="44">
        <f>J271</f>
        <v>25</v>
      </c>
      <c r="K291" s="71" t="s">
        <v>433</v>
      </c>
      <c r="M291" s="70" t="s">
        <v>886</v>
      </c>
      <c r="N291" s="16"/>
      <c r="O291" s="8"/>
      <c r="P291" s="18"/>
      <c r="Q291" s="69" t="s">
        <v>883</v>
      </c>
    </row>
    <row r="292" spans="1:17" ht="31.2">
      <c r="A292" s="3" cm="1">
        <f t="array" aca="1" ref="A292" ca="1">INDIRECT("A"&amp;ROW()-1)+1</f>
        <v>155</v>
      </c>
      <c r="B292" s="3">
        <f t="shared" ca="1" si="22"/>
        <v>155</v>
      </c>
      <c r="C292" s="3" t="str">
        <f ca="1">A272&amp;"any['电位器']"</f>
        <v>151any['电位器']</v>
      </c>
      <c r="D292" s="4" t="s">
        <v>884</v>
      </c>
      <c r="E292" s="11" t="s">
        <v>154</v>
      </c>
      <c r="F292" s="45" t="s">
        <v>132</v>
      </c>
      <c r="H292" s="15" t="s">
        <v>136</v>
      </c>
      <c r="I292" s="15"/>
      <c r="J292" s="44">
        <f>J271</f>
        <v>25</v>
      </c>
      <c r="K292" s="71" t="s">
        <v>433</v>
      </c>
      <c r="M292" s="70" t="s">
        <v>888</v>
      </c>
      <c r="N292" s="16"/>
      <c r="O292" s="8"/>
      <c r="P292" s="18"/>
      <c r="Q292" s="69" t="s">
        <v>889</v>
      </c>
    </row>
    <row r="293" spans="1:17" ht="69" customHeight="1">
      <c r="A293" s="3" cm="1">
        <f t="array" aca="1" ref="A293" ca="1">INDIRECT("A"&amp;ROW()-1)+1</f>
        <v>156</v>
      </c>
      <c r="B293" s="3">
        <f t="shared" ca="1" si="22"/>
        <v>156</v>
      </c>
      <c r="C293" s="3" t="str">
        <f ca="1">A271&amp;"any['RS232','RS422','RS485','TTL','IIC','SPI','USB','CAN','以太网','LAN','触控屏']"</f>
        <v>151any['RS232','RS422','RS485','TTL','IIC','SPI','USB','CAN','以太网','LAN','触控屏']</v>
      </c>
      <c r="D293" s="4" t="s">
        <v>837</v>
      </c>
      <c r="E293" s="5" t="s">
        <v>5</v>
      </c>
      <c r="F293" s="56" t="s">
        <v>141</v>
      </c>
      <c r="G293" s="5" t="s">
        <v>1</v>
      </c>
      <c r="H293" s="7" t="b">
        <v>1</v>
      </c>
      <c r="I293" s="37" t="s">
        <v>316</v>
      </c>
      <c r="J293" s="48">
        <f>J271</f>
        <v>25</v>
      </c>
      <c r="K293" s="71" t="s">
        <v>433</v>
      </c>
      <c r="L293" s="70" t="s">
        <v>838</v>
      </c>
      <c r="Q293" s="69" t="s">
        <v>843</v>
      </c>
    </row>
    <row r="294" spans="1:17">
      <c r="A294" s="3" cm="1">
        <f t="array" aca="1" ref="A294" ca="1">INDIRECT("A"&amp;ROW()-1)</f>
        <v>156</v>
      </c>
      <c r="B294" s="3" t="str">
        <f t="shared" ca="1" si="22"/>
        <v/>
      </c>
      <c r="F294" s="55" t="str">
        <f t="shared" si="23"/>
        <v>FALSE</v>
      </c>
      <c r="G294" s="5" t="s">
        <v>2</v>
      </c>
      <c r="H294" s="7" t="b">
        <v>0</v>
      </c>
      <c r="I294" s="68" t="s">
        <v>518</v>
      </c>
      <c r="J294" s="48"/>
      <c r="K294" s="48"/>
      <c r="M294" s="70" t="s">
        <v>839</v>
      </c>
    </row>
    <row r="295" spans="1:17" ht="31.2">
      <c r="A295" s="3" cm="1">
        <f t="array" aca="1" ref="A295" ca="1">INDIRECT("A"&amp;ROW()-1)+1</f>
        <v>157</v>
      </c>
      <c r="B295" s="3">
        <f t="shared" ca="1" si="22"/>
        <v>157</v>
      </c>
      <c r="C295" s="3" t="str">
        <f ca="1">A293&amp;"==True"</f>
        <v>156==True</v>
      </c>
      <c r="D295" s="4" t="s">
        <v>840</v>
      </c>
      <c r="E295" s="11" t="s">
        <v>154</v>
      </c>
      <c r="F295" s="45" t="s">
        <v>132</v>
      </c>
      <c r="H295" s="15" t="s">
        <v>136</v>
      </c>
      <c r="I295" s="15"/>
      <c r="J295" s="44">
        <f>J293</f>
        <v>25</v>
      </c>
      <c r="K295" s="71" t="s">
        <v>433</v>
      </c>
      <c r="M295" s="70" t="s">
        <v>841</v>
      </c>
      <c r="N295" s="16"/>
      <c r="O295" s="8"/>
      <c r="P295" s="18"/>
      <c r="Q295" s="69" t="s">
        <v>842</v>
      </c>
    </row>
    <row r="296" spans="1:17" ht="69" customHeight="1">
      <c r="A296" s="3" cm="1">
        <f t="array" aca="1" ref="A296" ca="1">INDIRECT("A"&amp;ROW()-1)+1</f>
        <v>158</v>
      </c>
      <c r="B296" s="3">
        <f t="shared" ca="1" si="22"/>
        <v>158</v>
      </c>
      <c r="C296" s="3" t="str">
        <f ca="1">A274&amp;"any['RS232','RS422','RS485','TTL']"</f>
        <v>151any['RS232','RS422','RS485','TTL']</v>
      </c>
      <c r="D296" s="4" t="s">
        <v>866</v>
      </c>
      <c r="E296" s="5" t="s">
        <v>5</v>
      </c>
      <c r="F296" s="56" t="s">
        <v>141</v>
      </c>
      <c r="G296" s="7">
        <v>9600</v>
      </c>
      <c r="H296" s="7">
        <v>9600</v>
      </c>
      <c r="I296" s="7">
        <v>9600</v>
      </c>
      <c r="J296" s="48">
        <f>J271</f>
        <v>25</v>
      </c>
      <c r="K296" s="71" t="s">
        <v>433</v>
      </c>
      <c r="L296" s="70" t="s">
        <v>867</v>
      </c>
      <c r="M296" s="70" t="s">
        <v>870</v>
      </c>
      <c r="Q296" s="69" t="s">
        <v>871</v>
      </c>
    </row>
    <row r="297" spans="1:17" ht="27.6" customHeight="1">
      <c r="A297" s="3" cm="1">
        <f t="array" aca="1" ref="A297" ca="1">INDIRECT("A"&amp;ROW()-1)</f>
        <v>158</v>
      </c>
      <c r="B297" s="3" t="str">
        <f t="shared" ca="1" si="22"/>
        <v/>
      </c>
      <c r="F297" s="56"/>
      <c r="G297" s="5">
        <v>19200</v>
      </c>
      <c r="H297" s="5">
        <v>19200</v>
      </c>
      <c r="I297" s="5">
        <v>19200</v>
      </c>
      <c r="J297" s="48"/>
      <c r="K297" s="71"/>
      <c r="L297" s="70" t="s">
        <v>868</v>
      </c>
      <c r="M297" s="70" t="s">
        <v>870</v>
      </c>
      <c r="Q297" s="69"/>
    </row>
    <row r="298" spans="1:17" ht="31.2">
      <c r="A298" s="3" cm="1">
        <f t="array" aca="1" ref="A298" ca="1">INDIRECT("A"&amp;ROW()-1)</f>
        <v>158</v>
      </c>
      <c r="B298" s="3" t="str">
        <f t="shared" ca="1" si="22"/>
        <v/>
      </c>
      <c r="F298" s="55" t="str">
        <f>F296</f>
        <v>FALSE</v>
      </c>
      <c r="G298" s="7">
        <v>115200</v>
      </c>
      <c r="H298" s="7">
        <v>115200</v>
      </c>
      <c r="I298" s="7">
        <v>115200</v>
      </c>
      <c r="J298" s="48"/>
      <c r="K298" s="48"/>
      <c r="L298" s="68" t="s">
        <v>869</v>
      </c>
      <c r="M298" s="70" t="s">
        <v>870</v>
      </c>
    </row>
    <row r="299" spans="1:17" ht="31.2">
      <c r="A299" s="3" cm="1">
        <f t="array" aca="1" ref="A299" ca="1">INDIRECT("A"&amp;ROW()-1)+1</f>
        <v>159</v>
      </c>
      <c r="B299" s="3">
        <f t="shared" ca="1" si="22"/>
        <v>159</v>
      </c>
      <c r="C299" s="3" t="str">
        <f ca="1">A275&amp;"any['RS232','RS422','RS485','TTL']"</f>
        <v>151any['RS232','RS422','RS485','TTL']</v>
      </c>
      <c r="D299" s="4" t="s">
        <v>872</v>
      </c>
      <c r="E299" s="11" t="s">
        <v>154</v>
      </c>
      <c r="F299" s="45" t="s">
        <v>132</v>
      </c>
      <c r="H299" s="15" t="s">
        <v>136</v>
      </c>
      <c r="I299" s="15"/>
      <c r="J299" s="44">
        <f>J271</f>
        <v>25</v>
      </c>
      <c r="K299" s="71" t="s">
        <v>433</v>
      </c>
      <c r="M299" s="70" t="s">
        <v>873</v>
      </c>
      <c r="N299" s="16"/>
      <c r="O299" s="8"/>
      <c r="P299" s="18"/>
      <c r="Q299" s="69" t="s">
        <v>874</v>
      </c>
    </row>
    <row r="300" spans="1:17" ht="31.2">
      <c r="A300" s="3" cm="1">
        <f t="array" aca="1" ref="A300" ca="1">INDIRECT("A"&amp;ROW()-1)+1</f>
        <v>160</v>
      </c>
      <c r="B300" s="3">
        <f t="shared" ca="1" si="22"/>
        <v>160</v>
      </c>
      <c r="C300" s="3" t="str">
        <f ca="1">A276&amp;"any['PWM']"</f>
        <v>151any['PWM']</v>
      </c>
      <c r="D300" s="4" t="s">
        <v>876</v>
      </c>
      <c r="E300" s="11" t="s">
        <v>154</v>
      </c>
      <c r="F300" s="45" t="s">
        <v>132</v>
      </c>
      <c r="H300" s="15" t="s">
        <v>136</v>
      </c>
      <c r="I300" s="15"/>
      <c r="J300" s="44">
        <f>J271</f>
        <v>25</v>
      </c>
      <c r="K300" s="71" t="s">
        <v>433</v>
      </c>
      <c r="M300" s="70" t="s">
        <v>878</v>
      </c>
      <c r="N300" s="16"/>
      <c r="O300" s="8"/>
      <c r="P300" s="18"/>
      <c r="Q300" s="69" t="s">
        <v>879</v>
      </c>
    </row>
    <row r="301" spans="1:17" ht="31.2">
      <c r="A301" s="3" cm="1">
        <f t="array" aca="1" ref="A301" ca="1">INDIRECT("A"&amp;ROW()-1)+1</f>
        <v>161</v>
      </c>
      <c r="B301" s="3">
        <f t="shared" ca="1" si="22"/>
        <v>161</v>
      </c>
      <c r="C301" s="3" t="str">
        <f ca="1">A277&amp;"any['外部触发']"</f>
        <v>151any['外部触发']</v>
      </c>
      <c r="D301" s="4" t="s">
        <v>875</v>
      </c>
      <c r="E301" s="11" t="s">
        <v>154</v>
      </c>
      <c r="F301" s="45" t="s">
        <v>132</v>
      </c>
      <c r="H301" s="15" t="s">
        <v>136</v>
      </c>
      <c r="I301" s="15"/>
      <c r="J301" s="44">
        <f>J271</f>
        <v>25</v>
      </c>
      <c r="K301" s="71" t="s">
        <v>433</v>
      </c>
      <c r="M301" s="70" t="s">
        <v>877</v>
      </c>
      <c r="N301" s="16"/>
      <c r="O301" s="8"/>
      <c r="P301" s="18"/>
      <c r="Q301" s="69" t="s">
        <v>880</v>
      </c>
    </row>
    <row r="302" spans="1:17" ht="31.2">
      <c r="A302" s="3" cm="1">
        <f t="array" aca="1" ref="A302" ca="1">INDIRECT("A"&amp;ROW()-1)+1</f>
        <v>162</v>
      </c>
      <c r="B302" s="3">
        <f t="shared" ca="1" si="22"/>
        <v>162</v>
      </c>
      <c r="C302" s="3" t="str">
        <f ca="1">A278&amp;"any['IIC']"</f>
        <v>151any['IIC']</v>
      </c>
      <c r="D302" s="4" t="s">
        <v>893</v>
      </c>
      <c r="E302" s="11" t="s">
        <v>154</v>
      </c>
      <c r="F302" s="45" t="s">
        <v>132</v>
      </c>
      <c r="H302" s="15" t="s">
        <v>136</v>
      </c>
      <c r="I302" s="15"/>
      <c r="J302" s="44">
        <f>J271</f>
        <v>25</v>
      </c>
      <c r="K302" s="71" t="s">
        <v>433</v>
      </c>
      <c r="M302" s="70" t="s">
        <v>894</v>
      </c>
      <c r="N302" s="16"/>
      <c r="O302" s="8"/>
      <c r="P302" s="18"/>
      <c r="Q302" s="69" t="s">
        <v>895</v>
      </c>
    </row>
    <row r="303" spans="1:17" ht="31.2">
      <c r="A303" s="3" cm="1">
        <f t="array" aca="1" ref="A303" ca="1">INDIRECT("A"&amp;ROW()-1)+1</f>
        <v>163</v>
      </c>
      <c r="B303" s="3">
        <f t="shared" ca="1" si="22"/>
        <v>163</v>
      </c>
      <c r="C303" s="3" t="str">
        <f ca="1">A279&amp;"any['SPI']"</f>
        <v>151any['SPI']</v>
      </c>
      <c r="D303" s="4" t="s">
        <v>896</v>
      </c>
      <c r="E303" s="11" t="s">
        <v>154</v>
      </c>
      <c r="F303" s="45" t="s">
        <v>132</v>
      </c>
      <c r="H303" s="15" t="s">
        <v>136</v>
      </c>
      <c r="I303" s="15"/>
      <c r="J303" s="44">
        <f>J271</f>
        <v>25</v>
      </c>
      <c r="K303" s="71" t="s">
        <v>433</v>
      </c>
      <c r="M303" s="70" t="s">
        <v>897</v>
      </c>
      <c r="N303" s="16"/>
      <c r="O303" s="8"/>
      <c r="P303" s="18"/>
      <c r="Q303" s="69" t="s">
        <v>898</v>
      </c>
    </row>
    <row r="304" spans="1:17" ht="31.2">
      <c r="A304" s="3" cm="1">
        <f t="array" aca="1" ref="A304" ca="1">INDIRECT("A"&amp;ROW()-1)+1</f>
        <v>164</v>
      </c>
      <c r="B304" s="3">
        <f t="shared" ca="1" si="22"/>
        <v>164</v>
      </c>
      <c r="C304" s="3" t="str">
        <f ca="1">A280&amp;"any['按键开关','踏板']"</f>
        <v>151any['按键开关','踏板']</v>
      </c>
      <c r="D304" s="4" t="s">
        <v>899</v>
      </c>
      <c r="E304" s="11" t="s">
        <v>154</v>
      </c>
      <c r="F304" s="45" t="s">
        <v>132</v>
      </c>
      <c r="H304" s="15" t="s">
        <v>136</v>
      </c>
      <c r="I304" s="15"/>
      <c r="J304" s="44">
        <f>J271</f>
        <v>25</v>
      </c>
      <c r="K304" s="71" t="s">
        <v>433</v>
      </c>
      <c r="M304" s="70" t="s">
        <v>900</v>
      </c>
      <c r="N304" s="16"/>
      <c r="O304" s="8"/>
      <c r="P304" s="18"/>
      <c r="Q304" s="69" t="s">
        <v>901</v>
      </c>
    </row>
    <row r="305" spans="1:17" ht="31.2">
      <c r="A305" s="3" cm="1">
        <f t="array" aca="1" ref="A305" ca="1">INDIRECT("A"&amp;ROW()-1)+1</f>
        <v>165</v>
      </c>
      <c r="B305" s="3">
        <f t="shared" ca="1" si="22"/>
        <v>165</v>
      </c>
      <c r="C305" s="3" t="str">
        <f ca="1">A281&amp;"any['编码器']"</f>
        <v>151any['编码器']</v>
      </c>
      <c r="D305" s="4" t="s">
        <v>902</v>
      </c>
      <c r="E305" s="11" t="s">
        <v>154</v>
      </c>
      <c r="F305" s="45" t="s">
        <v>132</v>
      </c>
      <c r="H305" s="15" t="s">
        <v>136</v>
      </c>
      <c r="I305" s="15"/>
      <c r="J305" s="44">
        <f>J271</f>
        <v>25</v>
      </c>
      <c r="K305" s="71" t="s">
        <v>433</v>
      </c>
      <c r="M305" s="70" t="s">
        <v>903</v>
      </c>
      <c r="N305" s="16"/>
      <c r="O305" s="8"/>
      <c r="P305" s="18"/>
      <c r="Q305" s="69" t="s">
        <v>904</v>
      </c>
    </row>
    <row r="306" spans="1:17" ht="31.2">
      <c r="A306" s="3" cm="1">
        <f t="array" aca="1" ref="A306" ca="1">INDIRECT("A"&amp;ROW()-1)+1</f>
        <v>166</v>
      </c>
      <c r="B306" s="3">
        <f t="shared" ca="1" si="22"/>
        <v>166</v>
      </c>
      <c r="C306" s="3" t="str">
        <f ca="1">A282&amp;"any['触控屏']"</f>
        <v>151any['触控屏']</v>
      </c>
      <c r="D306" s="4" t="s">
        <v>905</v>
      </c>
      <c r="E306" s="11" t="s">
        <v>154</v>
      </c>
      <c r="F306" s="45" t="s">
        <v>132</v>
      </c>
      <c r="H306" s="15" t="s">
        <v>136</v>
      </c>
      <c r="I306" s="15"/>
      <c r="J306" s="44">
        <f>J271</f>
        <v>25</v>
      </c>
      <c r="K306" s="71" t="s">
        <v>433</v>
      </c>
      <c r="M306" s="70" t="s">
        <v>906</v>
      </c>
      <c r="N306" s="16"/>
      <c r="O306" s="8"/>
      <c r="P306" s="18"/>
      <c r="Q306" s="69" t="s">
        <v>907</v>
      </c>
    </row>
    <row r="307" spans="1:17" ht="31.2">
      <c r="A307" s="3" cm="1">
        <f t="array" aca="1" ref="A307" ca="1">INDIRECT("A"&amp;ROW()-1)+1</f>
        <v>167</v>
      </c>
      <c r="B307" s="3">
        <f t="shared" ca="1" si="22"/>
        <v>167</v>
      </c>
      <c r="C307" s="3" t="str">
        <f ca="1">A12&amp;"any['硬件']"</f>
        <v>7any['硬件']</v>
      </c>
      <c r="D307" s="4" t="s">
        <v>391</v>
      </c>
      <c r="E307" s="5" t="s">
        <v>5</v>
      </c>
      <c r="F307" s="56" t="s">
        <v>141</v>
      </c>
      <c r="G307" s="5" t="s">
        <v>1</v>
      </c>
      <c r="H307" s="7" t="b">
        <v>1</v>
      </c>
      <c r="I307" s="37" t="s">
        <v>316</v>
      </c>
      <c r="J307" s="48">
        <v>26</v>
      </c>
      <c r="K307" s="42" t="s">
        <v>434</v>
      </c>
      <c r="L307" s="58" t="s">
        <v>607</v>
      </c>
      <c r="Q307" s="39" t="s">
        <v>241</v>
      </c>
    </row>
    <row r="308" spans="1:17">
      <c r="A308" s="3" cm="1">
        <f t="array" aca="1" ref="A308" ca="1">INDIRECT("A"&amp;ROW()-1)</f>
        <v>167</v>
      </c>
      <c r="B308" s="3" t="str">
        <f t="shared" ca="1" si="22"/>
        <v/>
      </c>
      <c r="F308" s="55" t="str">
        <f t="shared" si="23"/>
        <v>FALSE</v>
      </c>
      <c r="G308" s="5" t="s">
        <v>2</v>
      </c>
      <c r="H308" s="7" t="b">
        <v>0</v>
      </c>
      <c r="I308" s="52" t="s">
        <v>555</v>
      </c>
      <c r="J308" s="48"/>
      <c r="K308" s="48"/>
      <c r="M308" s="51" t="s">
        <v>554</v>
      </c>
    </row>
    <row r="309" spans="1:17" ht="31.2">
      <c r="A309" s="3" cm="1">
        <f t="array" aca="1" ref="A309" ca="1">INDIRECT("A"&amp;ROW()-1)+1</f>
        <v>168</v>
      </c>
      <c r="B309" s="3">
        <f t="shared" ca="1" si="22"/>
        <v>168</v>
      </c>
      <c r="C309" s="3" t="str">
        <f ca="1">A307&amp;"==True"</f>
        <v>167==True</v>
      </c>
      <c r="D309" s="4" t="s">
        <v>392</v>
      </c>
      <c r="E309" s="5" t="s">
        <v>6</v>
      </c>
      <c r="F309" s="56" t="s">
        <v>141</v>
      </c>
      <c r="G309" s="5" t="s">
        <v>39</v>
      </c>
      <c r="H309" s="7" t="s">
        <v>39</v>
      </c>
      <c r="I309" s="7" t="s">
        <v>39</v>
      </c>
      <c r="J309" s="3">
        <f>J307</f>
        <v>26</v>
      </c>
      <c r="K309" s="42" t="s">
        <v>434</v>
      </c>
      <c r="M309" s="38" t="s">
        <v>396</v>
      </c>
      <c r="Q309" s="39" t="s">
        <v>393</v>
      </c>
    </row>
    <row r="310" spans="1:17">
      <c r="A310" s="3" cm="1">
        <f t="array" aca="1" ref="A310" ca="1">INDIRECT("A"&amp;ROW()-1)</f>
        <v>168</v>
      </c>
      <c r="B310" s="3" t="str">
        <f t="shared" ca="1" si="22"/>
        <v/>
      </c>
      <c r="F310" s="55" t="str">
        <f t="shared" si="23"/>
        <v>FALSE</v>
      </c>
      <c r="G310" s="5" t="s">
        <v>41</v>
      </c>
      <c r="H310" s="7" t="s">
        <v>41</v>
      </c>
      <c r="I310" s="7" t="s">
        <v>41</v>
      </c>
    </row>
    <row r="311" spans="1:17">
      <c r="A311" s="3" cm="1">
        <f t="array" aca="1" ref="A311" ca="1">INDIRECT("A"&amp;ROW()-1)</f>
        <v>168</v>
      </c>
      <c r="B311" s="3" t="str">
        <f t="shared" ca="1" si="22"/>
        <v/>
      </c>
      <c r="F311" s="55" t="str">
        <f t="shared" si="23"/>
        <v>FALSE</v>
      </c>
      <c r="G311" s="5" t="s">
        <v>43</v>
      </c>
      <c r="H311" s="7" t="s">
        <v>43</v>
      </c>
      <c r="I311" s="7" t="s">
        <v>43</v>
      </c>
    </row>
    <row r="312" spans="1:17">
      <c r="A312" s="3" cm="1">
        <f t="array" aca="1" ref="A312" ca="1">INDIRECT("A"&amp;ROW()-1)</f>
        <v>168</v>
      </c>
      <c r="B312" s="3" t="str">
        <f t="shared" ca="1" si="22"/>
        <v/>
      </c>
      <c r="F312" s="55" t="str">
        <f t="shared" si="23"/>
        <v>FALSE</v>
      </c>
      <c r="G312" s="23" t="s">
        <v>45</v>
      </c>
      <c r="H312" s="7" t="s">
        <v>45</v>
      </c>
      <c r="I312" s="7" t="s">
        <v>45</v>
      </c>
    </row>
    <row r="313" spans="1:17">
      <c r="A313" s="3" cm="1">
        <f t="array" aca="1" ref="A313" ca="1">INDIRECT("A"&amp;ROW()-1)</f>
        <v>168</v>
      </c>
      <c r="B313" s="3" t="str">
        <f t="shared" ca="1" si="22"/>
        <v/>
      </c>
      <c r="F313" s="55" t="str">
        <f t="shared" si="23"/>
        <v>FALSE</v>
      </c>
      <c r="G313" s="5" t="s">
        <v>96</v>
      </c>
      <c r="H313" s="7" t="s">
        <v>96</v>
      </c>
      <c r="I313" s="7" t="s">
        <v>96</v>
      </c>
    </row>
    <row r="314" spans="1:17">
      <c r="A314" s="3" cm="1">
        <f t="array" aca="1" ref="A314" ca="1">INDIRECT("A"&amp;ROW()-1)</f>
        <v>168</v>
      </c>
      <c r="B314" s="3" t="str">
        <f t="shared" ca="1" si="22"/>
        <v/>
      </c>
      <c r="F314" s="55" t="str">
        <f t="shared" si="23"/>
        <v>FALSE</v>
      </c>
      <c r="G314" s="5" t="s">
        <v>97</v>
      </c>
      <c r="H314" s="7" t="s">
        <v>97</v>
      </c>
      <c r="I314" s="7" t="s">
        <v>97</v>
      </c>
    </row>
    <row r="315" spans="1:17">
      <c r="A315" s="3" cm="1">
        <f t="array" aca="1" ref="A315" ca="1">INDIRECT("A"&amp;ROW()-1)</f>
        <v>168</v>
      </c>
      <c r="B315" s="3" t="str">
        <f t="shared" ca="1" si="22"/>
        <v/>
      </c>
      <c r="F315" s="55" t="str">
        <f t="shared" si="23"/>
        <v>FALSE</v>
      </c>
      <c r="G315" s="5" t="s">
        <v>47</v>
      </c>
      <c r="H315" s="7" t="s">
        <v>47</v>
      </c>
      <c r="I315" s="7" t="s">
        <v>47</v>
      </c>
    </row>
    <row r="316" spans="1:17" ht="31.2">
      <c r="A316" s="3" cm="1">
        <f t="array" aca="1" ref="A316" ca="1">INDIRECT("A"&amp;ROW()-1)+1</f>
        <v>169</v>
      </c>
      <c r="B316" s="3">
        <f t="shared" ca="1" si="22"/>
        <v>169</v>
      </c>
      <c r="C316" s="3" t="str">
        <f ca="1">A307&amp;"==True"</f>
        <v>167==True</v>
      </c>
      <c r="D316" s="4" t="s">
        <v>394</v>
      </c>
      <c r="E316" s="5" t="s">
        <v>5</v>
      </c>
      <c r="F316" s="56" t="s">
        <v>141</v>
      </c>
      <c r="G316" s="5" t="s">
        <v>1</v>
      </c>
      <c r="H316" s="7" t="b">
        <v>1</v>
      </c>
      <c r="I316" s="37" t="s">
        <v>316</v>
      </c>
      <c r="J316" s="48">
        <f>J309</f>
        <v>26</v>
      </c>
      <c r="K316" s="42" t="s">
        <v>434</v>
      </c>
      <c r="L316" s="58"/>
      <c r="Q316" s="19" t="s">
        <v>242</v>
      </c>
    </row>
    <row r="317" spans="1:17">
      <c r="A317" s="3" cm="1">
        <f t="array" aca="1" ref="A317" ca="1">INDIRECT("A"&amp;ROW()-1)</f>
        <v>169</v>
      </c>
      <c r="B317" s="3" t="str">
        <f t="shared" ca="1" si="22"/>
        <v/>
      </c>
      <c r="F317" s="55" t="str">
        <f t="shared" si="23"/>
        <v>FALSE</v>
      </c>
      <c r="G317" s="5" t="s">
        <v>2</v>
      </c>
      <c r="H317" s="7" t="b">
        <v>0</v>
      </c>
      <c r="I317" s="52" t="s">
        <v>557</v>
      </c>
      <c r="J317" s="48"/>
      <c r="K317" s="48"/>
      <c r="M317" s="52" t="s">
        <v>556</v>
      </c>
    </row>
    <row r="318" spans="1:17" ht="31.2">
      <c r="A318" s="3" cm="1">
        <f t="array" aca="1" ref="A318" ca="1">INDIRECT("A"&amp;ROW()-1)+1</f>
        <v>170</v>
      </c>
      <c r="B318" s="3">
        <f t="shared" ca="1" si="22"/>
        <v>170</v>
      </c>
      <c r="C318" s="3" t="str">
        <f ca="1">A316&amp;"==True"</f>
        <v>169==True</v>
      </c>
      <c r="D318" s="4" t="s">
        <v>395</v>
      </c>
      <c r="E318" s="11" t="s">
        <v>154</v>
      </c>
      <c r="F318" s="45" t="s">
        <v>132</v>
      </c>
      <c r="H318" s="15" t="s">
        <v>136</v>
      </c>
      <c r="I318" s="15"/>
      <c r="J318" s="44">
        <f>J316</f>
        <v>26</v>
      </c>
      <c r="K318" s="42" t="s">
        <v>434</v>
      </c>
      <c r="M318" s="38" t="s">
        <v>397</v>
      </c>
      <c r="N318" s="16"/>
      <c r="O318" s="8"/>
      <c r="P318" s="18"/>
      <c r="Q318" s="19" t="s">
        <v>243</v>
      </c>
    </row>
    <row r="319" spans="1:17" ht="31.2">
      <c r="A319" s="3" cm="1">
        <f t="array" aca="1" ref="A319" ca="1">INDIRECT("A"&amp;ROW()-1)+1</f>
        <v>171</v>
      </c>
      <c r="B319" s="3">
        <f t="shared" ca="1" si="22"/>
        <v>171</v>
      </c>
      <c r="C319" s="3" t="str">
        <f ca="1">A12&amp;"any['硬件']"</f>
        <v>7any['硬件']</v>
      </c>
      <c r="D319" s="4" t="s">
        <v>398</v>
      </c>
      <c r="E319" s="5" t="s">
        <v>5</v>
      </c>
      <c r="F319" s="56" t="s">
        <v>141</v>
      </c>
      <c r="G319" s="5" t="s">
        <v>1</v>
      </c>
      <c r="H319" s="7" t="b">
        <v>1</v>
      </c>
      <c r="I319" s="52" t="s">
        <v>559</v>
      </c>
      <c r="J319" s="48">
        <f>J307</f>
        <v>26</v>
      </c>
      <c r="K319" s="42" t="s">
        <v>434</v>
      </c>
      <c r="L319" s="51"/>
      <c r="M319" s="52" t="s">
        <v>558</v>
      </c>
      <c r="Q319" s="19" t="s">
        <v>244</v>
      </c>
    </row>
    <row r="320" spans="1:17">
      <c r="A320" s="3" cm="1">
        <f t="array" aca="1" ref="A320" ca="1">INDIRECT("A"&amp;ROW()-1)</f>
        <v>171</v>
      </c>
      <c r="B320" s="3" t="str">
        <f t="shared" ca="1" si="22"/>
        <v/>
      </c>
      <c r="F320" s="55" t="str">
        <f t="shared" ref="F320" si="24">F319</f>
        <v>FALSE</v>
      </c>
      <c r="G320" s="5" t="s">
        <v>2</v>
      </c>
      <c r="H320" s="7" t="b">
        <v>0</v>
      </c>
      <c r="I320" s="52" t="s">
        <v>316</v>
      </c>
      <c r="J320" s="48"/>
      <c r="K320" s="48"/>
    </row>
    <row r="321" spans="1:17" ht="31.2">
      <c r="A321" s="3" cm="1">
        <f t="array" aca="1" ref="A321" ca="1">INDIRECT("A"&amp;ROW()-1)+1</f>
        <v>172</v>
      </c>
      <c r="B321" s="3">
        <f t="shared" ca="1" si="22"/>
        <v>172</v>
      </c>
      <c r="C321" s="3" t="str">
        <f ca="1">A319&amp;"==True"</f>
        <v>171==True</v>
      </c>
      <c r="D321" s="4" t="s">
        <v>142</v>
      </c>
      <c r="E321" s="23" t="s">
        <v>6</v>
      </c>
      <c r="F321" s="56" t="s">
        <v>141</v>
      </c>
      <c r="G321" s="23" t="s">
        <v>99</v>
      </c>
      <c r="H321" s="7" t="s">
        <v>139</v>
      </c>
      <c r="I321" s="7" t="s">
        <v>139</v>
      </c>
      <c r="J321" s="3">
        <f>J319</f>
        <v>26</v>
      </c>
      <c r="K321" s="42" t="s">
        <v>434</v>
      </c>
      <c r="M321" s="38" t="s">
        <v>399</v>
      </c>
      <c r="Q321" s="19" t="s">
        <v>245</v>
      </c>
    </row>
    <row r="322" spans="1:17">
      <c r="A322" s="3" cm="1">
        <f t="array" aca="1" ref="A322" ca="1">INDIRECT("A"&amp;ROW()-1)</f>
        <v>172</v>
      </c>
      <c r="B322" s="3" t="str">
        <f t="shared" ca="1" si="22"/>
        <v/>
      </c>
      <c r="F322" s="55" t="str">
        <f t="shared" ref="F322:F324" si="25">F321</f>
        <v>FALSE</v>
      </c>
      <c r="G322" s="5" t="s">
        <v>140</v>
      </c>
      <c r="H322" s="7" t="s">
        <v>140</v>
      </c>
      <c r="I322" s="7" t="s">
        <v>140</v>
      </c>
    </row>
    <row r="323" spans="1:17" ht="31.2">
      <c r="A323" s="3" cm="1">
        <f t="array" aca="1" ref="A323" ca="1">INDIRECT("A"&amp;ROW()-1)</f>
        <v>172</v>
      </c>
      <c r="B323" s="3" t="str">
        <f t="shared" ref="B323:B384" ca="1" si="26">IF(A323=A322,"",A323)</f>
        <v/>
      </c>
      <c r="F323" s="55" t="str">
        <f t="shared" si="25"/>
        <v>FALSE</v>
      </c>
      <c r="G323" s="60" t="s">
        <v>612</v>
      </c>
      <c r="H323" s="60" t="s">
        <v>612</v>
      </c>
      <c r="I323" s="60" t="s">
        <v>612</v>
      </c>
    </row>
    <row r="324" spans="1:17">
      <c r="A324" s="3" cm="1">
        <f t="array" aca="1" ref="A324" ca="1">INDIRECT("A"&amp;ROW()-1)</f>
        <v>172</v>
      </c>
      <c r="B324" s="3" t="str">
        <f t="shared" ca="1" si="26"/>
        <v/>
      </c>
      <c r="F324" s="55" t="str">
        <f t="shared" si="25"/>
        <v>FALSE</v>
      </c>
      <c r="G324" s="60" t="s">
        <v>45</v>
      </c>
      <c r="H324" s="60" t="s">
        <v>45</v>
      </c>
      <c r="I324" s="60" t="s">
        <v>45</v>
      </c>
    </row>
    <row r="325" spans="1:17" ht="31.2">
      <c r="A325" s="3" cm="1">
        <f t="array" aca="1" ref="A325" ca="1">INDIRECT("A"&amp;ROW()-1)+1</f>
        <v>173</v>
      </c>
      <c r="B325" s="3">
        <f t="shared" ca="1" si="26"/>
        <v>173</v>
      </c>
      <c r="C325" s="3" t="str">
        <f ca="1">A319&amp;"==True or "&amp;A271&amp;"any['触控屏']"</f>
        <v>171==True or 151any['触控屏']</v>
      </c>
      <c r="D325" s="4" t="s">
        <v>890</v>
      </c>
      <c r="E325" s="11" t="s">
        <v>154</v>
      </c>
      <c r="F325" s="56" t="s">
        <v>132</v>
      </c>
      <c r="H325" s="15" t="s">
        <v>136</v>
      </c>
      <c r="I325" s="15"/>
      <c r="J325" s="44">
        <f>J321</f>
        <v>26</v>
      </c>
      <c r="K325" s="42" t="s">
        <v>433</v>
      </c>
      <c r="M325" s="70" t="s">
        <v>891</v>
      </c>
      <c r="N325" s="16"/>
      <c r="O325" s="8"/>
      <c r="P325" s="18"/>
      <c r="Q325" s="69" t="s">
        <v>892</v>
      </c>
    </row>
    <row r="326" spans="1:17" ht="31.2">
      <c r="A326" s="3" cm="1">
        <f t="array" aca="1" ref="A326" ca="1">INDIRECT("A"&amp;ROW()-1)+1</f>
        <v>174</v>
      </c>
      <c r="B326" s="3">
        <f t="shared" ca="1" si="26"/>
        <v>174</v>
      </c>
      <c r="C326" s="3" t="str">
        <f ca="1">A319&amp;"==True"</f>
        <v>171==True</v>
      </c>
      <c r="D326" s="4" t="s">
        <v>143</v>
      </c>
      <c r="E326" s="5" t="s">
        <v>5</v>
      </c>
      <c r="F326" s="56" t="s">
        <v>141</v>
      </c>
      <c r="G326" s="5" t="s">
        <v>1</v>
      </c>
      <c r="H326" s="7" t="b">
        <v>1</v>
      </c>
      <c r="I326" s="37" t="s">
        <v>316</v>
      </c>
      <c r="J326" s="48">
        <f>J325</f>
        <v>26</v>
      </c>
      <c r="K326" s="42" t="s">
        <v>434</v>
      </c>
      <c r="L326" s="58" t="s">
        <v>608</v>
      </c>
      <c r="Q326" s="19" t="s">
        <v>246</v>
      </c>
    </row>
    <row r="327" spans="1:17">
      <c r="A327" s="3" cm="1">
        <f t="array" aca="1" ref="A327" ca="1">INDIRECT("A"&amp;ROW()-1)</f>
        <v>174</v>
      </c>
      <c r="B327" s="3" t="str">
        <f t="shared" ca="1" si="26"/>
        <v/>
      </c>
      <c r="F327" s="55" t="str">
        <f t="shared" ref="F327" si="27">F326</f>
        <v>FALSE</v>
      </c>
      <c r="G327" s="5" t="s">
        <v>2</v>
      </c>
      <c r="H327" s="7" t="b">
        <v>0</v>
      </c>
      <c r="I327" s="52" t="s">
        <v>561</v>
      </c>
      <c r="J327" s="48"/>
      <c r="K327" s="48"/>
      <c r="M327" s="51" t="s">
        <v>560</v>
      </c>
    </row>
    <row r="328" spans="1:17" ht="31.2">
      <c r="A328" s="3" cm="1">
        <f t="array" aca="1" ref="A328" ca="1">INDIRECT("A"&amp;ROW()-1)+1</f>
        <v>175</v>
      </c>
      <c r="B328" s="3">
        <f t="shared" ca="1" si="26"/>
        <v>175</v>
      </c>
      <c r="C328" s="3" t="str">
        <f ca="1">A326&amp;"==True"</f>
        <v>174==True</v>
      </c>
      <c r="D328" s="4" t="s">
        <v>98</v>
      </c>
      <c r="E328" s="5" t="s">
        <v>6</v>
      </c>
      <c r="F328" s="56" t="s">
        <v>141</v>
      </c>
      <c r="G328" s="5" t="s">
        <v>99</v>
      </c>
      <c r="H328" s="7" t="s">
        <v>99</v>
      </c>
      <c r="I328" s="7" t="s">
        <v>99</v>
      </c>
      <c r="J328" s="3">
        <f>J326</f>
        <v>26</v>
      </c>
      <c r="K328" s="42" t="s">
        <v>434</v>
      </c>
      <c r="M328" s="38" t="s">
        <v>400</v>
      </c>
      <c r="Q328" s="19" t="s">
        <v>247</v>
      </c>
    </row>
    <row r="329" spans="1:17">
      <c r="A329" s="3" cm="1">
        <f t="array" aca="1" ref="A329" ca="1">INDIRECT("A"&amp;ROW()-1)</f>
        <v>175</v>
      </c>
      <c r="B329" s="3" t="str">
        <f t="shared" ca="1" si="26"/>
        <v/>
      </c>
      <c r="F329" s="55" t="str">
        <f t="shared" ref="F329:F330" si="28">F328</f>
        <v>FALSE</v>
      </c>
      <c r="G329" s="5" t="s">
        <v>100</v>
      </c>
      <c r="H329" s="7" t="s">
        <v>100</v>
      </c>
      <c r="I329" s="7" t="s">
        <v>100</v>
      </c>
    </row>
    <row r="330" spans="1:17">
      <c r="A330" s="3" cm="1">
        <f t="array" aca="1" ref="A330" ca="1">INDIRECT("A"&amp;ROW()-1)</f>
        <v>175</v>
      </c>
      <c r="B330" s="3" t="str">
        <f t="shared" ca="1" si="26"/>
        <v/>
      </c>
      <c r="F330" s="55" t="str">
        <f t="shared" si="28"/>
        <v>FALSE</v>
      </c>
      <c r="G330" s="5" t="s">
        <v>101</v>
      </c>
      <c r="H330" s="7" t="s">
        <v>101</v>
      </c>
      <c r="I330" s="7" t="s">
        <v>101</v>
      </c>
    </row>
    <row r="331" spans="1:17" ht="31.2">
      <c r="A331" s="3" cm="1">
        <f t="array" aca="1" ref="A331" ca="1">INDIRECT("A"&amp;ROW()-1)+1</f>
        <v>176</v>
      </c>
      <c r="B331" s="3">
        <f t="shared" ca="1" si="26"/>
        <v>176</v>
      </c>
      <c r="C331" s="3" t="str">
        <f ca="1">A326&amp;"==True"</f>
        <v>174==True</v>
      </c>
      <c r="D331" s="4" t="s">
        <v>144</v>
      </c>
      <c r="E331" s="5" t="s">
        <v>5</v>
      </c>
      <c r="F331" s="56" t="s">
        <v>141</v>
      </c>
      <c r="G331" s="5" t="s">
        <v>1</v>
      </c>
      <c r="H331" s="7" t="b">
        <v>1</v>
      </c>
      <c r="I331" s="37" t="s">
        <v>316</v>
      </c>
      <c r="J331" s="48">
        <f>J328</f>
        <v>26</v>
      </c>
      <c r="K331" s="42" t="s">
        <v>435</v>
      </c>
      <c r="L331" s="58"/>
      <c r="Q331" s="19" t="s">
        <v>248</v>
      </c>
    </row>
    <row r="332" spans="1:17">
      <c r="A332" s="3" cm="1">
        <f t="array" aca="1" ref="A332" ca="1">INDIRECT("A"&amp;ROW()-1)</f>
        <v>176</v>
      </c>
      <c r="B332" s="3" t="str">
        <f t="shared" ca="1" si="26"/>
        <v/>
      </c>
      <c r="F332" s="55" t="str">
        <f t="shared" ref="F332" si="29">F331</f>
        <v>FALSE</v>
      </c>
      <c r="G332" s="5" t="s">
        <v>2</v>
      </c>
      <c r="H332" s="7" t="b">
        <v>0</v>
      </c>
      <c r="I332" s="52" t="s">
        <v>557</v>
      </c>
      <c r="J332" s="48"/>
      <c r="K332" s="48"/>
      <c r="M332" s="52" t="s">
        <v>562</v>
      </c>
    </row>
    <row r="333" spans="1:17" ht="31.2">
      <c r="A333" s="3" cm="1">
        <f t="array" aca="1" ref="A333" ca="1">INDIRECT("A"&amp;ROW()-1)+1</f>
        <v>177</v>
      </c>
      <c r="B333" s="3">
        <f t="shared" ca="1" si="26"/>
        <v>177</v>
      </c>
      <c r="C333" s="3" t="str">
        <f ca="1">A331&amp;"==True"</f>
        <v>176==True</v>
      </c>
      <c r="D333" s="4" t="s">
        <v>302</v>
      </c>
      <c r="E333" s="11" t="s">
        <v>154</v>
      </c>
      <c r="F333" s="45" t="s">
        <v>132</v>
      </c>
      <c r="H333" s="15" t="s">
        <v>136</v>
      </c>
      <c r="I333" s="15"/>
      <c r="J333" s="44">
        <f>J331</f>
        <v>26</v>
      </c>
      <c r="K333" s="42" t="s">
        <v>435</v>
      </c>
      <c r="M333" s="38" t="s">
        <v>401</v>
      </c>
      <c r="N333" s="16"/>
      <c r="O333" s="8"/>
      <c r="P333" s="18"/>
      <c r="Q333" s="19" t="s">
        <v>249</v>
      </c>
    </row>
    <row r="334" spans="1:17" ht="31.2">
      <c r="A334" s="3" cm="1">
        <f t="array" aca="1" ref="A334" ca="1">INDIRECT("A"&amp;ROW()-1)+1</f>
        <v>178</v>
      </c>
      <c r="B334" s="3">
        <f t="shared" ca="1" si="26"/>
        <v>178</v>
      </c>
      <c r="C334" s="3" t="str">
        <f ca="1">A12&amp;"any['硬件']"</f>
        <v>7any['硬件']</v>
      </c>
      <c r="D334" s="4" t="s">
        <v>698</v>
      </c>
      <c r="E334" s="5" t="s">
        <v>5</v>
      </c>
      <c r="F334" s="56" t="s">
        <v>141</v>
      </c>
      <c r="G334" s="68" t="s">
        <v>704</v>
      </c>
      <c r="H334" s="68" t="s">
        <v>699</v>
      </c>
      <c r="I334" s="68" t="s">
        <v>706</v>
      </c>
      <c r="J334" s="48">
        <f>J309</f>
        <v>26</v>
      </c>
      <c r="K334" s="42" t="s">
        <v>434</v>
      </c>
      <c r="L334" s="70" t="s">
        <v>702</v>
      </c>
      <c r="M334" s="52" t="s">
        <v>563</v>
      </c>
      <c r="Q334" s="69" t="s">
        <v>708</v>
      </c>
    </row>
    <row r="335" spans="1:17" ht="31.2">
      <c r="A335" s="3" cm="1">
        <f t="array" aca="1" ref="A335" ca="1">INDIRECT("A"&amp;ROW()-1)</f>
        <v>178</v>
      </c>
      <c r="B335" s="3" t="str">
        <f t="shared" ca="1" si="26"/>
        <v/>
      </c>
      <c r="F335" s="56" t="s">
        <v>141</v>
      </c>
      <c r="G335" s="68" t="s">
        <v>705</v>
      </c>
      <c r="H335" s="68" t="s">
        <v>700</v>
      </c>
      <c r="I335" s="68" t="s">
        <v>707</v>
      </c>
      <c r="J335" s="48"/>
      <c r="K335" s="42"/>
      <c r="L335" s="70" t="s">
        <v>703</v>
      </c>
      <c r="M335" s="52" t="s">
        <v>563</v>
      </c>
      <c r="Q335" s="39"/>
    </row>
    <row r="336" spans="1:17" ht="22.2" customHeight="1">
      <c r="A336" s="3" cm="1">
        <f t="array" aca="1" ref="A336" ca="1">INDIRECT("A"&amp;ROW()-1)</f>
        <v>178</v>
      </c>
      <c r="B336" s="3" t="str">
        <f t="shared" ca="1" si="26"/>
        <v/>
      </c>
      <c r="F336" s="56" t="s">
        <v>141</v>
      </c>
      <c r="G336" s="68" t="s">
        <v>555</v>
      </c>
      <c r="H336" s="68" t="s">
        <v>701</v>
      </c>
      <c r="I336" s="68" t="s">
        <v>555</v>
      </c>
      <c r="J336" s="48"/>
      <c r="K336" s="48"/>
      <c r="M336" s="52" t="s">
        <v>563</v>
      </c>
    </row>
    <row r="337" spans="1:17" ht="31.2">
      <c r="A337" s="3" cm="1">
        <f t="array" aca="1" ref="A337" ca="1">INDIRECT("A"&amp;ROW()-1)+1</f>
        <v>179</v>
      </c>
      <c r="B337" s="3">
        <f t="shared" ca="1" si="26"/>
        <v>179</v>
      </c>
      <c r="C337" s="3" t="str">
        <f ca="1">A334&amp;"==供定制"</f>
        <v>178==供定制</v>
      </c>
      <c r="D337" s="4" t="s">
        <v>717</v>
      </c>
      <c r="E337" s="11" t="s">
        <v>154</v>
      </c>
      <c r="F337" s="45" t="s">
        <v>132</v>
      </c>
      <c r="H337" s="15" t="s">
        <v>136</v>
      </c>
      <c r="I337" s="15"/>
      <c r="J337" s="44">
        <f>J334</f>
        <v>26</v>
      </c>
      <c r="K337" s="42" t="s">
        <v>434</v>
      </c>
      <c r="M337" s="70" t="s">
        <v>709</v>
      </c>
      <c r="N337" s="16"/>
      <c r="O337" s="8"/>
      <c r="P337" s="18"/>
      <c r="Q337" s="69" t="s">
        <v>710</v>
      </c>
    </row>
    <row r="338" spans="1:17" ht="31.2">
      <c r="A338" s="3" cm="1">
        <f t="array" aca="1" ref="A338" ca="1">INDIRECT("A"&amp;ROW()-1)+1</f>
        <v>180</v>
      </c>
      <c r="B338" s="3">
        <f t="shared" ca="1" si="26"/>
        <v>180</v>
      </c>
      <c r="C338" s="3" t="str">
        <f ca="1">A12&amp;"any['硬件']"</f>
        <v>7any['硬件']</v>
      </c>
      <c r="D338" s="4" t="s">
        <v>108</v>
      </c>
      <c r="E338" s="5" t="s">
        <v>5</v>
      </c>
      <c r="F338" s="56" t="s">
        <v>141</v>
      </c>
      <c r="G338" s="5" t="s">
        <v>1</v>
      </c>
      <c r="H338" s="7" t="b">
        <v>1</v>
      </c>
      <c r="I338" s="37" t="s">
        <v>316</v>
      </c>
      <c r="J338" s="48">
        <v>31</v>
      </c>
      <c r="K338" s="42" t="s">
        <v>436</v>
      </c>
      <c r="L338" s="58" t="s">
        <v>594</v>
      </c>
      <c r="Q338" s="19" t="s">
        <v>255</v>
      </c>
    </row>
    <row r="339" spans="1:17">
      <c r="A339" s="3" cm="1">
        <f t="array" aca="1" ref="A339" ca="1">INDIRECT("A"&amp;ROW()-1)</f>
        <v>180</v>
      </c>
      <c r="B339" s="3" t="str">
        <f t="shared" ca="1" si="26"/>
        <v/>
      </c>
      <c r="F339" s="55" t="str">
        <f t="shared" ref="F339" si="30">F338</f>
        <v>FALSE</v>
      </c>
      <c r="G339" s="5" t="s">
        <v>2</v>
      </c>
      <c r="H339" s="7" t="b">
        <v>0</v>
      </c>
      <c r="I339" s="52" t="s">
        <v>520</v>
      </c>
      <c r="J339" s="48"/>
      <c r="K339" s="48"/>
      <c r="M339" s="52" t="s">
        <v>568</v>
      </c>
    </row>
    <row r="340" spans="1:17" ht="31.2">
      <c r="A340" s="3" cm="1">
        <f t="array" aca="1" ref="A340" ca="1">INDIRECT("A"&amp;ROW()-1)+1</f>
        <v>181</v>
      </c>
      <c r="B340" s="3">
        <f t="shared" ca="1" si="26"/>
        <v>181</v>
      </c>
      <c r="C340" s="3" t="str">
        <f ca="1">A338&amp;"==True"</f>
        <v>180==True</v>
      </c>
      <c r="D340" s="4" t="s">
        <v>305</v>
      </c>
      <c r="E340" s="11" t="s">
        <v>154</v>
      </c>
      <c r="F340" s="45" t="s">
        <v>132</v>
      </c>
      <c r="H340" s="15" t="s">
        <v>136</v>
      </c>
      <c r="I340" s="53"/>
      <c r="J340" s="44">
        <f>J338</f>
        <v>31</v>
      </c>
      <c r="K340" s="42" t="s">
        <v>436</v>
      </c>
      <c r="M340" s="38" t="s">
        <v>405</v>
      </c>
      <c r="N340" s="16"/>
      <c r="O340" s="8"/>
      <c r="P340" s="18"/>
      <c r="Q340" s="19" t="s">
        <v>256</v>
      </c>
    </row>
    <row r="341" spans="1:17" ht="31.2">
      <c r="A341" s="3" cm="1">
        <f t="array" aca="1" ref="A341" ca="1">INDIRECT("A"&amp;ROW()-1)+1</f>
        <v>182</v>
      </c>
      <c r="B341" s="3">
        <f t="shared" ca="1" si="26"/>
        <v>182</v>
      </c>
      <c r="C341" s="3" t="str">
        <f ca="1">A338&amp;"==True"</f>
        <v>180==True</v>
      </c>
      <c r="D341" s="4" t="s">
        <v>306</v>
      </c>
      <c r="E341" s="11" t="s">
        <v>154</v>
      </c>
      <c r="F341" s="45" t="s">
        <v>132</v>
      </c>
      <c r="H341" s="15" t="s">
        <v>136</v>
      </c>
      <c r="I341" s="15"/>
      <c r="J341" s="44">
        <f>J338</f>
        <v>31</v>
      </c>
      <c r="K341" s="42" t="s">
        <v>437</v>
      </c>
      <c r="M341" s="38" t="s">
        <v>406</v>
      </c>
      <c r="N341" s="16"/>
      <c r="O341" s="8"/>
      <c r="P341" s="18"/>
      <c r="Q341" s="19" t="s">
        <v>257</v>
      </c>
    </row>
    <row r="342" spans="1:17" ht="31.2">
      <c r="A342" s="3" cm="1">
        <f t="array" aca="1" ref="A342" ca="1">INDIRECT("A"&amp;ROW()-1)+1</f>
        <v>183</v>
      </c>
      <c r="B342" s="3">
        <f t="shared" ca="1" si="26"/>
        <v>183</v>
      </c>
      <c r="C342" s="3" t="str">
        <f ca="1">A12&amp;"any['硬件']"</f>
        <v>7any['硬件']</v>
      </c>
      <c r="D342" s="4" t="s">
        <v>111</v>
      </c>
      <c r="E342" s="5" t="s">
        <v>5</v>
      </c>
      <c r="F342" s="56" t="s">
        <v>141</v>
      </c>
      <c r="G342" s="5" t="s">
        <v>1</v>
      </c>
      <c r="H342" s="7" t="b">
        <v>1</v>
      </c>
      <c r="I342" s="52" t="s">
        <v>565</v>
      </c>
      <c r="J342" s="48">
        <f>J338</f>
        <v>31</v>
      </c>
      <c r="K342" s="42" t="s">
        <v>436</v>
      </c>
      <c r="L342" s="58" t="s">
        <v>609</v>
      </c>
      <c r="M342" s="52" t="s">
        <v>564</v>
      </c>
      <c r="Q342" s="19" t="s">
        <v>250</v>
      </c>
    </row>
    <row r="343" spans="1:17">
      <c r="A343" s="3" cm="1">
        <f t="array" aca="1" ref="A343" ca="1">INDIRECT("A"&amp;ROW()-1)</f>
        <v>183</v>
      </c>
      <c r="B343" s="3" t="str">
        <f t="shared" ca="1" si="26"/>
        <v/>
      </c>
      <c r="F343" s="55" t="str">
        <f t="shared" ref="F343" si="31">F342</f>
        <v>FALSE</v>
      </c>
      <c r="G343" s="5" t="s">
        <v>2</v>
      </c>
      <c r="H343" s="7" t="b">
        <v>0</v>
      </c>
      <c r="I343" s="52" t="s">
        <v>567</v>
      </c>
      <c r="J343" s="48"/>
      <c r="K343" s="48"/>
      <c r="M343" s="52" t="s">
        <v>564</v>
      </c>
    </row>
    <row r="344" spans="1:17" ht="31.2">
      <c r="A344" s="3" cm="1">
        <f t="array" aca="1" ref="A344" ca="1">INDIRECT("A"&amp;ROW()-1)+1</f>
        <v>184</v>
      </c>
      <c r="B344" s="3">
        <f t="shared" ca="1" si="26"/>
        <v>184</v>
      </c>
      <c r="C344" s="3" t="str">
        <f ca="1">A342&amp;"==True"</f>
        <v>183==True</v>
      </c>
      <c r="D344" s="4" t="s">
        <v>303</v>
      </c>
      <c r="E344" s="11" t="s">
        <v>154</v>
      </c>
      <c r="F344" s="45" t="s">
        <v>132</v>
      </c>
      <c r="H344" s="15" t="s">
        <v>136</v>
      </c>
      <c r="I344" s="15"/>
      <c r="J344" s="44">
        <f>J342</f>
        <v>31</v>
      </c>
      <c r="K344" s="42" t="s">
        <v>436</v>
      </c>
      <c r="M344" s="38" t="s">
        <v>402</v>
      </c>
      <c r="N344" s="16"/>
      <c r="O344" s="8"/>
      <c r="P344" s="18"/>
      <c r="Q344" s="19" t="s">
        <v>252</v>
      </c>
    </row>
    <row r="345" spans="1:17">
      <c r="A345" s="3" cm="1">
        <f t="array" aca="1" ref="A345" ca="1">INDIRECT("A"&amp;ROW()-1)+1</f>
        <v>185</v>
      </c>
      <c r="B345" s="3">
        <f t="shared" ca="1" si="26"/>
        <v>185</v>
      </c>
      <c r="C345" s="3" t="str">
        <f ca="1">A342&amp;"==True"</f>
        <v>183==True</v>
      </c>
      <c r="D345" s="4" t="s">
        <v>832</v>
      </c>
      <c r="E345" s="68" t="s">
        <v>6</v>
      </c>
      <c r="F345" s="56" t="s">
        <v>141</v>
      </c>
      <c r="G345" s="68" t="s">
        <v>833</v>
      </c>
      <c r="H345" s="68" t="s">
        <v>833</v>
      </c>
      <c r="I345" s="68" t="s">
        <v>833</v>
      </c>
      <c r="J345" s="43">
        <f>J342</f>
        <v>31</v>
      </c>
      <c r="K345" s="71" t="s">
        <v>424</v>
      </c>
      <c r="L345" s="51"/>
      <c r="M345" s="70" t="s">
        <v>835</v>
      </c>
      <c r="Q345" s="69" t="s">
        <v>836</v>
      </c>
    </row>
    <row r="346" spans="1:17">
      <c r="A346" s="3" cm="1">
        <f t="array" aca="1" ref="A346" ca="1">INDIRECT("A"&amp;ROW()-1)</f>
        <v>185</v>
      </c>
      <c r="B346" s="3" t="str">
        <f t="shared" ca="1" si="26"/>
        <v/>
      </c>
      <c r="F346" s="56" t="s">
        <v>141</v>
      </c>
      <c r="G346" s="68" t="s">
        <v>834</v>
      </c>
      <c r="H346" s="68" t="s">
        <v>834</v>
      </c>
      <c r="I346" s="68" t="s">
        <v>834</v>
      </c>
      <c r="J346" s="43"/>
      <c r="K346" s="42"/>
      <c r="L346" s="51"/>
      <c r="M346" s="70"/>
      <c r="Q346" s="36"/>
    </row>
    <row r="347" spans="1:17" ht="31.2">
      <c r="A347" s="3" cm="1">
        <f t="array" aca="1" ref="A347" ca="1">INDIRECT("A"&amp;ROW()-1)+1</f>
        <v>186</v>
      </c>
      <c r="B347" s="3">
        <f t="shared" ca="1" si="26"/>
        <v>186</v>
      </c>
      <c r="C347" s="3" t="str">
        <f ca="1">A12&amp;"any['硬件']"</f>
        <v>7any['硬件']</v>
      </c>
      <c r="D347" s="4" t="s">
        <v>112</v>
      </c>
      <c r="E347" s="5" t="s">
        <v>5</v>
      </c>
      <c r="F347" s="56" t="s">
        <v>141</v>
      </c>
      <c r="G347" s="5" t="s">
        <v>1</v>
      </c>
      <c r="H347" s="7" t="b">
        <v>1</v>
      </c>
      <c r="I347" s="52" t="s">
        <v>565</v>
      </c>
      <c r="J347" s="48">
        <f>J342</f>
        <v>31</v>
      </c>
      <c r="K347" s="42" t="s">
        <v>436</v>
      </c>
      <c r="L347" s="58" t="s">
        <v>610</v>
      </c>
      <c r="M347" s="52" t="s">
        <v>566</v>
      </c>
      <c r="Q347" s="19" t="s">
        <v>251</v>
      </c>
    </row>
    <row r="348" spans="1:17">
      <c r="A348" s="3" cm="1">
        <f t="array" aca="1" ref="A348" ca="1">INDIRECT("A"&amp;ROW()-1)</f>
        <v>186</v>
      </c>
      <c r="B348" s="3" t="str">
        <f t="shared" ca="1" si="26"/>
        <v/>
      </c>
      <c r="F348" s="55" t="str">
        <f t="shared" ref="F348" si="32">F347</f>
        <v>FALSE</v>
      </c>
      <c r="G348" s="5" t="s">
        <v>2</v>
      </c>
      <c r="H348" s="7" t="b">
        <v>0</v>
      </c>
      <c r="I348" s="52" t="s">
        <v>567</v>
      </c>
      <c r="J348" s="48"/>
      <c r="K348" s="48"/>
      <c r="M348" s="52" t="s">
        <v>566</v>
      </c>
    </row>
    <row r="349" spans="1:17" ht="31.2">
      <c r="A349" s="3" cm="1">
        <f t="array" aca="1" ref="A349" ca="1">INDIRECT("A"&amp;ROW()-1)+1</f>
        <v>187</v>
      </c>
      <c r="B349" s="3">
        <f t="shared" ca="1" si="26"/>
        <v>187</v>
      </c>
      <c r="C349" s="3" t="str">
        <f ca="1">A347&amp;"==True"</f>
        <v>186==True</v>
      </c>
      <c r="D349" s="4" t="s">
        <v>304</v>
      </c>
      <c r="E349" s="11" t="s">
        <v>154</v>
      </c>
      <c r="F349" s="45" t="s">
        <v>132</v>
      </c>
      <c r="H349" s="15" t="s">
        <v>136</v>
      </c>
      <c r="I349" s="15"/>
      <c r="J349" s="44">
        <f>J347</f>
        <v>31</v>
      </c>
      <c r="K349" s="42" t="s">
        <v>436</v>
      </c>
      <c r="M349" s="38" t="s">
        <v>403</v>
      </c>
      <c r="N349" s="16"/>
      <c r="O349" s="8"/>
      <c r="P349" s="18"/>
      <c r="Q349" s="19" t="s">
        <v>253</v>
      </c>
    </row>
    <row r="350" spans="1:17">
      <c r="A350" s="3" cm="1">
        <f t="array" aca="1" ref="A350" ca="1">INDIRECT("A"&amp;ROW()-1)+1</f>
        <v>188</v>
      </c>
      <c r="B350" s="3">
        <f t="shared" ca="1" si="26"/>
        <v>188</v>
      </c>
      <c r="C350" s="3" t="str">
        <f ca="1">A12&amp;"any['硬件']"</f>
        <v>7any['硬件']</v>
      </c>
      <c r="D350" s="4" t="s">
        <v>107</v>
      </c>
      <c r="E350" s="5" t="s">
        <v>5</v>
      </c>
      <c r="F350" s="56" t="s">
        <v>141</v>
      </c>
      <c r="G350" s="5" t="s">
        <v>1</v>
      </c>
      <c r="H350" s="7" t="b">
        <v>1</v>
      </c>
      <c r="I350" s="52" t="s">
        <v>570</v>
      </c>
      <c r="J350" s="48">
        <f>J342</f>
        <v>31</v>
      </c>
      <c r="K350" s="42" t="s">
        <v>424</v>
      </c>
      <c r="L350" s="58" t="s">
        <v>611</v>
      </c>
      <c r="M350" s="52" t="s">
        <v>569</v>
      </c>
      <c r="Q350" s="19" t="s">
        <v>258</v>
      </c>
    </row>
    <row r="351" spans="1:17">
      <c r="A351" s="3" cm="1">
        <f t="array" aca="1" ref="A351" ca="1">INDIRECT("A"&amp;ROW()-1)</f>
        <v>188</v>
      </c>
      <c r="B351" s="3" t="str">
        <f t="shared" ca="1" si="26"/>
        <v/>
      </c>
      <c r="F351" s="55" t="str">
        <f t="shared" ref="F351" si="33">F350</f>
        <v>FALSE</v>
      </c>
      <c r="G351" s="5" t="s">
        <v>2</v>
      </c>
      <c r="H351" s="7" t="b">
        <v>0</v>
      </c>
      <c r="I351" s="52" t="s">
        <v>572</v>
      </c>
      <c r="J351" s="48"/>
      <c r="K351" s="48"/>
      <c r="M351" s="52" t="s">
        <v>571</v>
      </c>
    </row>
    <row r="352" spans="1:17">
      <c r="A352" s="3" cm="1">
        <f t="array" aca="1" ref="A352" ca="1">INDIRECT("A"&amp;ROW()-1)+1</f>
        <v>189</v>
      </c>
      <c r="B352" s="3">
        <f t="shared" ca="1" si="26"/>
        <v>189</v>
      </c>
      <c r="C352" s="3" t="str">
        <f ca="1">A350&amp;"==True"</f>
        <v>188==True</v>
      </c>
      <c r="D352" s="4" t="s">
        <v>307</v>
      </c>
      <c r="E352" s="11" t="s">
        <v>154</v>
      </c>
      <c r="F352" s="45" t="s">
        <v>132</v>
      </c>
      <c r="H352" s="15" t="s">
        <v>136</v>
      </c>
      <c r="I352" s="15"/>
      <c r="J352" s="44">
        <f>J350</f>
        <v>31</v>
      </c>
      <c r="K352" s="42" t="s">
        <v>424</v>
      </c>
      <c r="M352" s="38" t="s">
        <v>407</v>
      </c>
      <c r="N352" s="16"/>
      <c r="O352" s="8"/>
      <c r="P352" s="18"/>
      <c r="Q352" s="19" t="s">
        <v>259</v>
      </c>
    </row>
    <row r="353" spans="1:17" ht="31.2">
      <c r="A353" s="3" cm="1">
        <f t="array" aca="1" ref="A353" ca="1">INDIRECT("A"&amp;ROW()-1)+1</f>
        <v>190</v>
      </c>
      <c r="B353" s="3">
        <f t="shared" ca="1" si="26"/>
        <v>190</v>
      </c>
      <c r="C353" s="3" t="str">
        <f ca="1">A213&amp;"==True"</f>
        <v>118==True</v>
      </c>
      <c r="D353" s="4" t="s">
        <v>109</v>
      </c>
      <c r="E353" s="5" t="s">
        <v>5</v>
      </c>
      <c r="F353" s="56" t="s">
        <v>141</v>
      </c>
      <c r="G353" s="5" t="s">
        <v>1</v>
      </c>
      <c r="H353" s="7" t="b">
        <v>1</v>
      </c>
      <c r="I353" s="37" t="s">
        <v>316</v>
      </c>
      <c r="J353" s="48">
        <f>J338</f>
        <v>31</v>
      </c>
      <c r="K353" s="42" t="s">
        <v>424</v>
      </c>
      <c r="L353" s="58" t="s">
        <v>595</v>
      </c>
      <c r="Q353" s="19" t="s">
        <v>260</v>
      </c>
    </row>
    <row r="354" spans="1:17">
      <c r="A354" s="3" cm="1">
        <f t="array" aca="1" ref="A354" ca="1">INDIRECT("A"&amp;ROW()-1)</f>
        <v>190</v>
      </c>
      <c r="B354" s="3" t="str">
        <f t="shared" ca="1" si="26"/>
        <v/>
      </c>
      <c r="F354" s="55" t="str">
        <f t="shared" ref="F354" si="34">F353</f>
        <v>FALSE</v>
      </c>
      <c r="G354" s="5" t="s">
        <v>2</v>
      </c>
      <c r="H354" s="7" t="b">
        <v>0</v>
      </c>
      <c r="I354" s="52" t="s">
        <v>520</v>
      </c>
      <c r="J354" s="48"/>
      <c r="K354" s="48"/>
      <c r="M354" s="51" t="s">
        <v>573</v>
      </c>
    </row>
    <row r="355" spans="1:17">
      <c r="A355" s="3" cm="1">
        <f t="array" aca="1" ref="A355" ca="1">INDIRECT("A"&amp;ROW()-1)+1</f>
        <v>191</v>
      </c>
      <c r="B355" s="3">
        <f t="shared" ca="1" si="26"/>
        <v>191</v>
      </c>
      <c r="C355" s="3" t="str">
        <f ca="1">A353&amp;"==True"</f>
        <v>190==True</v>
      </c>
      <c r="D355" s="4" t="s">
        <v>308</v>
      </c>
      <c r="E355" s="11" t="s">
        <v>154</v>
      </c>
      <c r="F355" s="45" t="s">
        <v>132</v>
      </c>
      <c r="H355" s="15" t="s">
        <v>136</v>
      </c>
      <c r="I355" s="15"/>
      <c r="J355" s="44">
        <f>J353</f>
        <v>31</v>
      </c>
      <c r="K355" s="42" t="s">
        <v>424</v>
      </c>
      <c r="M355" s="38" t="s">
        <v>408</v>
      </c>
      <c r="N355" s="16"/>
      <c r="O355" s="8"/>
      <c r="P355" s="18"/>
      <c r="Q355" s="19" t="s">
        <v>261</v>
      </c>
    </row>
    <row r="356" spans="1:17" ht="46.8">
      <c r="A356" s="3" cm="1">
        <f t="array" aca="1" ref="A356" ca="1">INDIRECT("A"&amp;ROW()-1)+1</f>
        <v>192</v>
      </c>
      <c r="B356" s="3">
        <f t="shared" ca="1" si="26"/>
        <v>192</v>
      </c>
      <c r="C356" s="27" t="str">
        <f ca="1">A12&amp;"any['硬件']"</f>
        <v>7any['硬件']</v>
      </c>
      <c r="D356" s="4" t="s">
        <v>125</v>
      </c>
      <c r="E356" s="5" t="s">
        <v>5</v>
      </c>
      <c r="F356" s="56" t="s">
        <v>141</v>
      </c>
      <c r="G356" s="5" t="s">
        <v>1</v>
      </c>
      <c r="H356" s="7" t="b">
        <v>1</v>
      </c>
      <c r="I356" s="37" t="s">
        <v>316</v>
      </c>
      <c r="J356" s="48">
        <f>J338</f>
        <v>31</v>
      </c>
      <c r="K356" s="42" t="s">
        <v>424</v>
      </c>
      <c r="L356" s="51" t="s">
        <v>596</v>
      </c>
      <c r="Q356" s="79" t="s">
        <v>955</v>
      </c>
    </row>
    <row r="357" spans="1:17">
      <c r="A357" s="3" cm="1">
        <f t="array" aca="1" ref="A357" ca="1">INDIRECT("A"&amp;ROW()-1)</f>
        <v>192</v>
      </c>
      <c r="B357" s="3" t="str">
        <f t="shared" ca="1" si="26"/>
        <v/>
      </c>
      <c r="F357" s="55" t="str">
        <f t="shared" ref="F357" si="35">F356</f>
        <v>FALSE</v>
      </c>
      <c r="G357" s="5" t="s">
        <v>2</v>
      </c>
      <c r="H357" s="7" t="b">
        <v>0</v>
      </c>
      <c r="I357" s="52" t="s">
        <v>520</v>
      </c>
      <c r="J357" s="48"/>
      <c r="K357" s="48"/>
      <c r="M357" s="52" t="s">
        <v>574</v>
      </c>
    </row>
    <row r="358" spans="1:17">
      <c r="A358" s="3" cm="1">
        <f t="array" aca="1" ref="A358" ca="1">INDIRECT("A"&amp;ROW()-1)+1</f>
        <v>193</v>
      </c>
      <c r="B358" s="3">
        <f t="shared" ca="1" si="26"/>
        <v>193</v>
      </c>
      <c r="C358" s="3" t="str">
        <f ca="1">A356&amp;"==True"</f>
        <v>192==True</v>
      </c>
      <c r="D358" s="4" t="s">
        <v>309</v>
      </c>
      <c r="E358" s="11" t="s">
        <v>154</v>
      </c>
      <c r="F358" s="45" t="s">
        <v>132</v>
      </c>
      <c r="H358" s="15" t="s">
        <v>136</v>
      </c>
      <c r="I358" s="15"/>
      <c r="J358" s="44">
        <f>J356</f>
        <v>31</v>
      </c>
      <c r="K358" s="42" t="s">
        <v>424</v>
      </c>
      <c r="M358" s="38" t="s">
        <v>409</v>
      </c>
      <c r="N358" s="16"/>
      <c r="O358" s="8"/>
      <c r="P358" s="18"/>
      <c r="Q358" s="19" t="s">
        <v>262</v>
      </c>
    </row>
    <row r="359" spans="1:17" ht="31.2">
      <c r="A359" s="3" cm="1">
        <f t="array" aca="1" ref="A359" ca="1">INDIRECT("A"&amp;ROW()-1)+1</f>
        <v>194</v>
      </c>
      <c r="B359" s="3">
        <f t="shared" ca="1" si="26"/>
        <v>194</v>
      </c>
      <c r="C359" s="3" t="str">
        <f>A2&amp;"!=代工"</f>
        <v>1!=代工</v>
      </c>
      <c r="D359" s="4" t="s">
        <v>113</v>
      </c>
      <c r="E359" s="5" t="s">
        <v>6</v>
      </c>
      <c r="F359" s="46" t="s">
        <v>141</v>
      </c>
      <c r="G359" s="5" t="s">
        <v>102</v>
      </c>
      <c r="H359" s="7" t="s">
        <v>102</v>
      </c>
      <c r="I359" s="7" t="s">
        <v>102</v>
      </c>
      <c r="J359" s="3">
        <v>41</v>
      </c>
      <c r="K359" s="42" t="s">
        <v>424</v>
      </c>
      <c r="L359" s="7"/>
      <c r="M359" s="38" t="s">
        <v>404</v>
      </c>
      <c r="Q359" s="19" t="s">
        <v>254</v>
      </c>
    </row>
    <row r="360" spans="1:17">
      <c r="A360" s="3" cm="1">
        <f t="array" aca="1" ref="A360" ca="1">INDIRECT("A"&amp;ROW()-1)</f>
        <v>194</v>
      </c>
      <c r="B360" s="3" t="str">
        <f t="shared" ca="1" si="26"/>
        <v/>
      </c>
      <c r="F360" s="55" t="str">
        <f t="shared" ref="F360:F363" si="36">F359</f>
        <v>FALSE</v>
      </c>
      <c r="G360" s="5" t="s">
        <v>103</v>
      </c>
      <c r="H360" s="7" t="s">
        <v>103</v>
      </c>
      <c r="I360" s="7" t="s">
        <v>103</v>
      </c>
      <c r="L360" s="7"/>
    </row>
    <row r="361" spans="1:17">
      <c r="A361" s="3" cm="1">
        <f t="array" aca="1" ref="A361" ca="1">INDIRECT("A"&amp;ROW()-1)</f>
        <v>194</v>
      </c>
      <c r="B361" s="3" t="str">
        <f t="shared" ca="1" si="26"/>
        <v/>
      </c>
      <c r="F361" s="55" t="str">
        <f t="shared" si="36"/>
        <v>FALSE</v>
      </c>
      <c r="G361" s="5" t="s">
        <v>104</v>
      </c>
      <c r="H361" s="7" t="s">
        <v>104</v>
      </c>
      <c r="I361" s="7" t="s">
        <v>104</v>
      </c>
      <c r="L361" s="7"/>
    </row>
    <row r="362" spans="1:17">
      <c r="A362" s="3" cm="1">
        <f t="array" aca="1" ref="A362" ca="1">INDIRECT("A"&amp;ROW()-1)</f>
        <v>194</v>
      </c>
      <c r="B362" s="3" t="str">
        <f t="shared" ca="1" si="26"/>
        <v/>
      </c>
      <c r="F362" s="55" t="str">
        <f t="shared" si="36"/>
        <v>FALSE</v>
      </c>
      <c r="G362" s="5" t="s">
        <v>105</v>
      </c>
      <c r="H362" s="7" t="s">
        <v>105</v>
      </c>
      <c r="I362" s="7" t="s">
        <v>105</v>
      </c>
      <c r="L362" s="7"/>
    </row>
    <row r="363" spans="1:17">
      <c r="A363" s="3" cm="1">
        <f t="array" aca="1" ref="A363" ca="1">INDIRECT("A"&amp;ROW()-1)</f>
        <v>194</v>
      </c>
      <c r="B363" s="3" t="str">
        <f t="shared" ca="1" si="26"/>
        <v/>
      </c>
      <c r="F363" s="55" t="str">
        <f t="shared" si="36"/>
        <v>FALSE</v>
      </c>
      <c r="G363" s="5" t="s">
        <v>106</v>
      </c>
      <c r="H363" s="7" t="s">
        <v>106</v>
      </c>
      <c r="I363" s="7" t="s">
        <v>106</v>
      </c>
    </row>
    <row r="364" spans="1:17" ht="31.2">
      <c r="A364" s="3" cm="1">
        <f t="array" aca="1" ref="A364" ca="1">INDIRECT("A"&amp;ROW()-1)+1</f>
        <v>195</v>
      </c>
      <c r="B364" s="3">
        <f t="shared" ca="1" si="26"/>
        <v>195</v>
      </c>
      <c r="C364" s="66" t="str">
        <f>A2&amp;"!=代工"</f>
        <v>1!=代工</v>
      </c>
      <c r="D364" s="4" t="s">
        <v>662</v>
      </c>
      <c r="E364" s="5" t="s">
        <v>5</v>
      </c>
      <c r="F364" s="56" t="s">
        <v>141</v>
      </c>
      <c r="G364" s="5" t="s">
        <v>1</v>
      </c>
      <c r="H364" s="7" t="b">
        <v>1</v>
      </c>
      <c r="I364" s="65" t="s">
        <v>316</v>
      </c>
      <c r="J364" s="48">
        <f>J359</f>
        <v>41</v>
      </c>
      <c r="K364" s="66" t="s">
        <v>435</v>
      </c>
      <c r="L364" s="58"/>
      <c r="M364" s="52"/>
      <c r="Q364" s="64" t="s">
        <v>666</v>
      </c>
    </row>
    <row r="365" spans="1:17">
      <c r="A365" s="3" cm="1">
        <f t="array" aca="1" ref="A365" ca="1">INDIRECT("A"&amp;ROW()-1)</f>
        <v>195</v>
      </c>
      <c r="B365" s="3" t="str">
        <f t="shared" ca="1" si="26"/>
        <v/>
      </c>
      <c r="F365" s="55" t="str">
        <f t="shared" ref="F365" si="37">F364</f>
        <v>FALSE</v>
      </c>
      <c r="G365" s="5" t="s">
        <v>2</v>
      </c>
      <c r="H365" s="7" t="b">
        <v>0</v>
      </c>
      <c r="I365" s="65" t="s">
        <v>665</v>
      </c>
      <c r="J365" s="48"/>
      <c r="K365" s="48"/>
      <c r="M365" s="65" t="s">
        <v>664</v>
      </c>
    </row>
    <row r="366" spans="1:17" ht="31.2">
      <c r="A366" s="3" cm="1">
        <f t="array" aca="1" ref="A366" ca="1">INDIRECT("A"&amp;ROW()-1)+1</f>
        <v>196</v>
      </c>
      <c r="B366" s="3">
        <f t="shared" ca="1" si="26"/>
        <v>196</v>
      </c>
      <c r="C366" s="3" t="str">
        <f ca="1">A364&amp;"==True"</f>
        <v>195==True</v>
      </c>
      <c r="D366" s="4" t="s">
        <v>661</v>
      </c>
      <c r="E366" s="11" t="s">
        <v>154</v>
      </c>
      <c r="F366" s="45" t="s">
        <v>132</v>
      </c>
      <c r="H366" s="15" t="s">
        <v>136</v>
      </c>
      <c r="I366" s="15"/>
      <c r="J366" s="44">
        <f>J364</f>
        <v>41</v>
      </c>
      <c r="K366" s="42" t="s">
        <v>436</v>
      </c>
      <c r="M366" s="67" t="s">
        <v>663</v>
      </c>
      <c r="N366" s="16"/>
      <c r="O366" s="8"/>
      <c r="P366" s="18"/>
      <c r="Q366" s="64" t="s">
        <v>667</v>
      </c>
    </row>
    <row r="367" spans="1:17" ht="46.8">
      <c r="A367" s="3" cm="1">
        <f t="array" aca="1" ref="A367" ca="1">INDIRECT("A"&amp;ROW()-1)+1</f>
        <v>197</v>
      </c>
      <c r="B367" s="3">
        <f t="shared" ca="1" si="26"/>
        <v>197</v>
      </c>
      <c r="C367" s="66" t="str">
        <f>A2&amp;"!=代工"</f>
        <v>1!=代工</v>
      </c>
      <c r="D367" s="4" t="s">
        <v>722</v>
      </c>
      <c r="E367" s="5" t="s">
        <v>5</v>
      </c>
      <c r="F367" s="56" t="s">
        <v>141</v>
      </c>
      <c r="G367" s="5" t="s">
        <v>1</v>
      </c>
      <c r="H367" s="7" t="b">
        <v>1</v>
      </c>
      <c r="I367" s="65" t="s">
        <v>316</v>
      </c>
      <c r="J367" s="48">
        <f>J359</f>
        <v>41</v>
      </c>
      <c r="K367" s="71" t="s">
        <v>424</v>
      </c>
      <c r="L367" s="58"/>
      <c r="M367" s="52"/>
      <c r="Q367" s="69" t="s">
        <v>727</v>
      </c>
    </row>
    <row r="368" spans="1:17">
      <c r="A368" s="3" cm="1">
        <f t="array" aca="1" ref="A368" ca="1">INDIRECT("A"&amp;ROW()-1)</f>
        <v>197</v>
      </c>
      <c r="B368" s="3" t="str">
        <f t="shared" ca="1" si="26"/>
        <v/>
      </c>
      <c r="F368" s="55" t="str">
        <f t="shared" ref="F368" si="38">F367</f>
        <v>FALSE</v>
      </c>
      <c r="G368" s="5" t="s">
        <v>2</v>
      </c>
      <c r="H368" s="7" t="b">
        <v>0</v>
      </c>
      <c r="I368" s="65" t="s">
        <v>665</v>
      </c>
      <c r="J368" s="48"/>
      <c r="K368" s="48"/>
      <c r="M368" s="68" t="s">
        <v>725</v>
      </c>
    </row>
    <row r="369" spans="1:17">
      <c r="A369" s="3" cm="1">
        <f t="array" aca="1" ref="A369" ca="1">INDIRECT("A"&amp;ROW()-1)+1</f>
        <v>198</v>
      </c>
      <c r="B369" s="3">
        <f t="shared" ca="1" si="26"/>
        <v>198</v>
      </c>
      <c r="C369" s="3" t="str">
        <f ca="1">A367&amp;"==True"</f>
        <v>197==True</v>
      </c>
      <c r="D369" s="4" t="s">
        <v>723</v>
      </c>
      <c r="E369" s="11" t="s">
        <v>154</v>
      </c>
      <c r="F369" s="45" t="s">
        <v>132</v>
      </c>
      <c r="H369" s="15" t="s">
        <v>136</v>
      </c>
      <c r="I369" s="15"/>
      <c r="J369" s="44">
        <f>J367</f>
        <v>41</v>
      </c>
      <c r="K369" s="71" t="s">
        <v>424</v>
      </c>
      <c r="M369" s="70" t="s">
        <v>724</v>
      </c>
      <c r="N369" s="16"/>
      <c r="O369" s="8"/>
      <c r="P369" s="18"/>
      <c r="Q369" s="69" t="s">
        <v>726</v>
      </c>
    </row>
    <row r="370" spans="1:17" ht="31.2">
      <c r="A370" s="3" cm="1">
        <f t="array" aca="1" ref="A370" ca="1">INDIRECT("A"&amp;ROW()-1)+1</f>
        <v>199</v>
      </c>
      <c r="B370" s="3">
        <f t="shared" ca="1" si="26"/>
        <v>199</v>
      </c>
      <c r="C370" s="3" t="str">
        <f ca="1">A12&amp;"any['光学','光源']"</f>
        <v>7any['光学','光源']</v>
      </c>
      <c r="D370" s="4" t="s">
        <v>777</v>
      </c>
      <c r="E370" s="5" t="s">
        <v>5</v>
      </c>
      <c r="F370" s="56" t="s">
        <v>141</v>
      </c>
      <c r="G370" s="5" t="s">
        <v>1</v>
      </c>
      <c r="H370" s="7" t="b">
        <v>1</v>
      </c>
      <c r="I370" s="37" t="s">
        <v>316</v>
      </c>
      <c r="J370" s="48">
        <v>99</v>
      </c>
      <c r="K370" s="71" t="s">
        <v>780</v>
      </c>
      <c r="L370" s="61" t="s">
        <v>614</v>
      </c>
      <c r="Q370" s="62" t="s">
        <v>615</v>
      </c>
    </row>
    <row r="371" spans="1:17">
      <c r="A371" s="3" cm="1">
        <f t="array" aca="1" ref="A371" ca="1">INDIRECT("A"&amp;ROW()-1)</f>
        <v>199</v>
      </c>
      <c r="B371" s="3" t="str">
        <f t="shared" ca="1" si="26"/>
        <v/>
      </c>
      <c r="F371" s="55" t="str">
        <f t="shared" ref="F371" si="39">F370</f>
        <v>FALSE</v>
      </c>
      <c r="G371" s="5" t="s">
        <v>2</v>
      </c>
      <c r="H371" s="7" t="b">
        <v>0</v>
      </c>
      <c r="I371" s="52" t="s">
        <v>316</v>
      </c>
      <c r="J371" s="48"/>
      <c r="K371" s="48"/>
      <c r="M371" s="70" t="s">
        <v>613</v>
      </c>
    </row>
    <row r="372" spans="1:17" ht="31.2">
      <c r="A372" s="3" cm="1">
        <f t="array" aca="1" ref="A372" ca="1">INDIRECT("A"&amp;ROW()-1)+1</f>
        <v>200</v>
      </c>
      <c r="B372" s="3">
        <f t="shared" ca="1" si="26"/>
        <v>200</v>
      </c>
      <c r="C372" s="3" t="str">
        <f ca="1">A370&amp;"==True"</f>
        <v>199==True</v>
      </c>
      <c r="D372" s="4" t="s">
        <v>778</v>
      </c>
      <c r="E372" s="11" t="s">
        <v>154</v>
      </c>
      <c r="F372" s="56" t="s">
        <v>132</v>
      </c>
      <c r="H372" s="18" t="s">
        <v>136</v>
      </c>
      <c r="I372" s="18"/>
      <c r="J372" s="47">
        <f>J370</f>
        <v>99</v>
      </c>
      <c r="K372" s="71" t="s">
        <v>780</v>
      </c>
      <c r="L372" s="58"/>
      <c r="M372" s="70" t="s">
        <v>779</v>
      </c>
      <c r="Q372" s="62" t="s">
        <v>616</v>
      </c>
    </row>
    <row r="373" spans="1:17" ht="31.2">
      <c r="A373" s="3" cm="1">
        <f t="array" aca="1" ref="A373" ca="1">INDIRECT("A"&amp;ROW()-1)+1</f>
        <v>201</v>
      </c>
      <c r="B373" s="3">
        <f t="shared" ca="1" si="26"/>
        <v>201</v>
      </c>
      <c r="C373" s="3" t="str">
        <f ca="1">A12&amp;"any['结构']"</f>
        <v>7any['结构']</v>
      </c>
      <c r="D373" s="4" t="s">
        <v>621</v>
      </c>
      <c r="E373" s="5" t="s">
        <v>5</v>
      </c>
      <c r="F373" s="56" t="s">
        <v>141</v>
      </c>
      <c r="G373" s="5" t="s">
        <v>1</v>
      </c>
      <c r="H373" s="7" t="b">
        <v>1</v>
      </c>
      <c r="I373" s="37" t="s">
        <v>316</v>
      </c>
      <c r="J373" s="48">
        <f>J370</f>
        <v>99</v>
      </c>
      <c r="K373" s="63" t="s">
        <v>428</v>
      </c>
      <c r="L373" s="61" t="s">
        <v>622</v>
      </c>
      <c r="Q373" s="62" t="s">
        <v>624</v>
      </c>
    </row>
    <row r="374" spans="1:17">
      <c r="A374" s="3" cm="1">
        <f t="array" aca="1" ref="A374" ca="1">INDIRECT("A"&amp;ROW()-1)</f>
        <v>201</v>
      </c>
      <c r="B374" s="3" t="str">
        <f t="shared" ca="1" si="26"/>
        <v/>
      </c>
      <c r="F374" s="55" t="str">
        <f t="shared" ref="F374" si="40">F373</f>
        <v>FALSE</v>
      </c>
      <c r="G374" s="5" t="s">
        <v>2</v>
      </c>
      <c r="H374" s="7" t="b">
        <v>0</v>
      </c>
      <c r="I374" s="52" t="s">
        <v>316</v>
      </c>
      <c r="J374" s="48"/>
      <c r="K374" s="48"/>
      <c r="M374" s="61" t="s">
        <v>623</v>
      </c>
    </row>
    <row r="375" spans="1:17">
      <c r="A375" s="3" cm="1">
        <f t="array" aca="1" ref="A375" ca="1">INDIRECT("A"&amp;ROW()-1)+1</f>
        <v>202</v>
      </c>
      <c r="B375" s="3">
        <f t="shared" ca="1" si="26"/>
        <v>202</v>
      </c>
      <c r="C375" s="3" t="str">
        <f ca="1">A373&amp;"==True"</f>
        <v>201==True</v>
      </c>
      <c r="D375" s="4" t="s">
        <v>410</v>
      </c>
      <c r="E375" s="11" t="s">
        <v>154</v>
      </c>
      <c r="F375" s="56" t="s">
        <v>132</v>
      </c>
      <c r="H375" s="18" t="s">
        <v>136</v>
      </c>
      <c r="I375" s="18"/>
      <c r="J375" s="47">
        <f>J370</f>
        <v>99</v>
      </c>
      <c r="K375" s="42" t="s">
        <v>428</v>
      </c>
      <c r="L375" s="58"/>
      <c r="M375" s="38" t="s">
        <v>414</v>
      </c>
      <c r="Q375" s="62" t="s">
        <v>617</v>
      </c>
    </row>
    <row r="376" spans="1:17" ht="31.2">
      <c r="A376" s="3" cm="1">
        <f t="array" aca="1" ref="A376" ca="1">INDIRECT("A"&amp;ROW()-1)+1</f>
        <v>203</v>
      </c>
      <c r="B376" s="3">
        <f t="shared" ca="1" si="26"/>
        <v>203</v>
      </c>
      <c r="C376" s="3" t="str">
        <f ca="1">A12&amp;"any['硬件']"</f>
        <v>7any['硬件']</v>
      </c>
      <c r="D376" s="4" t="s">
        <v>625</v>
      </c>
      <c r="E376" s="5" t="s">
        <v>5</v>
      </c>
      <c r="F376" s="56" t="s">
        <v>141</v>
      </c>
      <c r="G376" s="5" t="s">
        <v>1</v>
      </c>
      <c r="H376" s="7" t="b">
        <v>1</v>
      </c>
      <c r="I376" s="37" t="s">
        <v>316</v>
      </c>
      <c r="J376" s="48">
        <f>J370</f>
        <v>99</v>
      </c>
      <c r="K376" s="63" t="s">
        <v>438</v>
      </c>
      <c r="L376" s="61" t="s">
        <v>626</v>
      </c>
      <c r="Q376" s="62" t="s">
        <v>628</v>
      </c>
    </row>
    <row r="377" spans="1:17">
      <c r="A377" s="3" cm="1">
        <f t="array" aca="1" ref="A377" ca="1">INDIRECT("A"&amp;ROW()-1)</f>
        <v>203</v>
      </c>
      <c r="B377" s="3" t="str">
        <f t="shared" ca="1" si="26"/>
        <v/>
      </c>
      <c r="F377" s="55" t="str">
        <f t="shared" ref="F377" si="41">F376</f>
        <v>FALSE</v>
      </c>
      <c r="G377" s="5" t="s">
        <v>2</v>
      </c>
      <c r="H377" s="7" t="b">
        <v>0</v>
      </c>
      <c r="I377" s="52" t="s">
        <v>316</v>
      </c>
      <c r="J377" s="48"/>
      <c r="K377" s="48"/>
      <c r="M377" s="61" t="s">
        <v>627</v>
      </c>
    </row>
    <row r="378" spans="1:17">
      <c r="A378" s="3" cm="1">
        <f t="array" aca="1" ref="A378" ca="1">INDIRECT("A"&amp;ROW()-1)+1</f>
        <v>204</v>
      </c>
      <c r="B378" s="3">
        <f t="shared" ca="1" si="26"/>
        <v>204</v>
      </c>
      <c r="C378" s="3" t="str">
        <f ca="1">A376&amp;"==True"</f>
        <v>203==True</v>
      </c>
      <c r="D378" s="4" t="s">
        <v>411</v>
      </c>
      <c r="E378" s="11" t="s">
        <v>154</v>
      </c>
      <c r="F378" s="56" t="s">
        <v>132</v>
      </c>
      <c r="H378" s="18" t="s">
        <v>136</v>
      </c>
      <c r="I378" s="18"/>
      <c r="J378" s="47">
        <f>J370</f>
        <v>99</v>
      </c>
      <c r="K378" s="42" t="s">
        <v>438</v>
      </c>
      <c r="L378" s="58"/>
      <c r="M378" s="38" t="s">
        <v>415</v>
      </c>
      <c r="Q378" s="62" t="s">
        <v>618</v>
      </c>
    </row>
    <row r="379" spans="1:17" ht="31.2">
      <c r="A379" s="3" cm="1">
        <f t="array" aca="1" ref="A379" ca="1">INDIRECT("A"&amp;ROW()-1)+1</f>
        <v>205</v>
      </c>
      <c r="B379" s="3">
        <f t="shared" ca="1" si="26"/>
        <v>205</v>
      </c>
      <c r="C379" s="3" t="str">
        <f ca="1">A12&amp;"any['软件']"</f>
        <v>7any['软件']</v>
      </c>
      <c r="D379" s="4" t="s">
        <v>629</v>
      </c>
      <c r="E379" s="5" t="s">
        <v>5</v>
      </c>
      <c r="F379" s="56" t="s">
        <v>141</v>
      </c>
      <c r="G379" s="5" t="s">
        <v>1</v>
      </c>
      <c r="H379" s="7" t="b">
        <v>1</v>
      </c>
      <c r="I379" s="37" t="s">
        <v>316</v>
      </c>
      <c r="J379" s="48">
        <f>J370</f>
        <v>99</v>
      </c>
      <c r="K379" s="63" t="s">
        <v>439</v>
      </c>
      <c r="L379" s="61" t="s">
        <v>630</v>
      </c>
      <c r="Q379" s="62" t="s">
        <v>632</v>
      </c>
    </row>
    <row r="380" spans="1:17">
      <c r="A380" s="3" cm="1">
        <f t="array" aca="1" ref="A380" ca="1">INDIRECT("A"&amp;ROW()-1)</f>
        <v>205</v>
      </c>
      <c r="B380" s="3" t="str">
        <f t="shared" ca="1" si="26"/>
        <v/>
      </c>
      <c r="F380" s="55" t="str">
        <f t="shared" ref="F380" si="42">F379</f>
        <v>FALSE</v>
      </c>
      <c r="G380" s="5" t="s">
        <v>2</v>
      </c>
      <c r="H380" s="7" t="b">
        <v>0</v>
      </c>
      <c r="I380" s="52" t="s">
        <v>316</v>
      </c>
      <c r="J380" s="48"/>
      <c r="K380" s="48"/>
      <c r="M380" s="61" t="s">
        <v>631</v>
      </c>
    </row>
    <row r="381" spans="1:17">
      <c r="A381" s="3" cm="1">
        <f t="array" aca="1" ref="A381" ca="1">INDIRECT("A"&amp;ROW()-1)+1</f>
        <v>206</v>
      </c>
      <c r="B381" s="3">
        <f t="shared" ca="1" si="26"/>
        <v>206</v>
      </c>
      <c r="C381" s="3" t="str">
        <f ca="1">A379&amp;"==True"</f>
        <v>205==True</v>
      </c>
      <c r="D381" s="4" t="s">
        <v>412</v>
      </c>
      <c r="E381" s="11" t="s">
        <v>154</v>
      </c>
      <c r="F381" s="56" t="s">
        <v>132</v>
      </c>
      <c r="H381" s="18" t="s">
        <v>136</v>
      </c>
      <c r="I381" s="18"/>
      <c r="J381" s="47">
        <f>J370</f>
        <v>99</v>
      </c>
      <c r="K381" s="42" t="s">
        <v>439</v>
      </c>
      <c r="L381" s="58"/>
      <c r="M381" s="38" t="s">
        <v>416</v>
      </c>
      <c r="Q381" s="62" t="s">
        <v>619</v>
      </c>
    </row>
    <row r="382" spans="1:17" ht="31.2">
      <c r="A382" s="3" cm="1">
        <f t="array" aca="1" ref="A382" ca="1">INDIRECT("A"&amp;ROW()-1)+1</f>
        <v>207</v>
      </c>
      <c r="B382" s="3">
        <f t="shared" ca="1" si="26"/>
        <v>207</v>
      </c>
      <c r="C382" s="77" t="str">
        <f>A2&amp;"!=代工"</f>
        <v>1!=代工</v>
      </c>
      <c r="D382" s="4" t="s">
        <v>633</v>
      </c>
      <c r="E382" s="5" t="s">
        <v>5</v>
      </c>
      <c r="F382" s="56" t="s">
        <v>141</v>
      </c>
      <c r="G382" s="5" t="s">
        <v>1</v>
      </c>
      <c r="H382" s="7" t="b">
        <v>1</v>
      </c>
      <c r="I382" s="37" t="s">
        <v>316</v>
      </c>
      <c r="J382" s="48">
        <f>J370</f>
        <v>99</v>
      </c>
      <c r="K382" s="63" t="s">
        <v>440</v>
      </c>
      <c r="L382" s="61" t="s">
        <v>634</v>
      </c>
      <c r="Q382" s="62" t="s">
        <v>636</v>
      </c>
    </row>
    <row r="383" spans="1:17">
      <c r="A383" s="3" cm="1">
        <f t="array" aca="1" ref="A383" ca="1">INDIRECT("A"&amp;ROW()-1)</f>
        <v>207</v>
      </c>
      <c r="B383" s="3" t="str">
        <f t="shared" ca="1" si="26"/>
        <v/>
      </c>
      <c r="F383" s="55" t="str">
        <f t="shared" ref="F383" si="43">F382</f>
        <v>FALSE</v>
      </c>
      <c r="G383" s="5" t="s">
        <v>2</v>
      </c>
      <c r="H383" s="7" t="b">
        <v>0</v>
      </c>
      <c r="I383" s="52" t="s">
        <v>316</v>
      </c>
      <c r="J383" s="48"/>
      <c r="K383" s="48"/>
      <c r="M383" s="61" t="s">
        <v>635</v>
      </c>
    </row>
    <row r="384" spans="1:17">
      <c r="A384" s="3" cm="1">
        <f t="array" aca="1" ref="A384" ca="1">INDIRECT("A"&amp;ROW()-1)+1</f>
        <v>208</v>
      </c>
      <c r="B384" s="3">
        <f t="shared" ca="1" si="26"/>
        <v>208</v>
      </c>
      <c r="C384" s="3" t="str">
        <f ca="1">A382&amp;"==True"</f>
        <v>207==True</v>
      </c>
      <c r="D384" s="4" t="s">
        <v>413</v>
      </c>
      <c r="E384" s="11" t="s">
        <v>154</v>
      </c>
      <c r="F384" s="56" t="s">
        <v>132</v>
      </c>
      <c r="H384" s="18" t="s">
        <v>136</v>
      </c>
      <c r="I384" s="18"/>
      <c r="J384" s="47">
        <f>J370</f>
        <v>99</v>
      </c>
      <c r="K384" s="42" t="s">
        <v>440</v>
      </c>
      <c r="L384" s="58"/>
      <c r="M384" s="38" t="s">
        <v>417</v>
      </c>
      <c r="Q384" s="62" t="s">
        <v>620</v>
      </c>
    </row>
  </sheetData>
  <phoneticPr fontId="30" type="noConversion"/>
  <conditionalFormatting sqref="A1:AF1048576">
    <cfRule type="expression" dxfId="4" priority="4">
      <formula>MOD(INDIRECT("A"&amp;ROW()),2)=1</formula>
    </cfRule>
    <cfRule type="expression" dxfId="3" priority="5">
      <formula>MOD(INDIRECT("A"&amp;ROW()),2)=0</formula>
    </cfRule>
  </conditionalFormatting>
  <conditionalFormatting sqref="F1:F1048576">
    <cfRule type="expression" dxfId="2" priority="1">
      <formula>AND(INDIRECT("F"&amp;ROW())="TRUE",INDIRECT("I"&amp;ROW())="None")</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 operator="containsText" id="{C5BBD031-16C9-46E1-AD94-6E8479DDF671}">
            <xm:f>NOT(ISERROR(SEARCH(FALSE,F1)))</xm:f>
            <xm:f>FALSE</xm:f>
            <x14:dxf>
              <font>
                <color rgb="FFFF0000"/>
              </font>
              <numFmt numFmtId="176" formatCode="0.00_ "/>
            </x14:dxf>
          </x14:cfRule>
          <x14:cfRule type="containsText" priority="3" operator="containsText" id="{1C769D4E-0532-47D4-9C54-C5FA534B67AC}">
            <xm:f>NOT(ISERROR(SEARCH(TRUE,F1)))</xm:f>
            <xm:f>TRUE</xm:f>
            <x14:dxf>
              <font>
                <color rgb="FF00B050"/>
              </font>
              <numFmt numFmtId="176" formatCode="0.00_ "/>
            </x14:dxf>
          </x14:cfRule>
          <xm:sqref>F1:F1048576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248B5-751E-4509-B1D8-FDB681154790}">
  <sheetPr codeName="Sheet2"/>
  <dimension ref="A1:B2"/>
  <sheetViews>
    <sheetView workbookViewId="0">
      <selection activeCell="B2" sqref="B2"/>
    </sheetView>
  </sheetViews>
  <sheetFormatPr defaultRowHeight="13.8"/>
  <cols>
    <col min="1" max="1" width="9.77734375" style="1" customWidth="1"/>
    <col min="2" max="2" width="51.5546875" style="1" customWidth="1"/>
    <col min="3" max="3" width="10.6640625" style="1" customWidth="1"/>
    <col min="4" max="4" width="18.109375" style="1" customWidth="1"/>
    <col min="5" max="16384" width="8.88671875" style="1"/>
  </cols>
  <sheetData>
    <row r="1" spans="1:2">
      <c r="A1" s="1" t="s">
        <v>311</v>
      </c>
      <c r="B1" s="1" t="s">
        <v>312</v>
      </c>
    </row>
    <row r="2" spans="1:2">
      <c r="A2" s="1">
        <f ca="1">MAX(问题!B:B)</f>
        <v>208</v>
      </c>
    </row>
  </sheetData>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问题</vt:lpstr>
      <vt:lpstr>节点ID最大值记录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Gavin Lin</cp:lastModifiedBy>
  <dcterms:created xsi:type="dcterms:W3CDTF">2015-06-05T18:19:34Z</dcterms:created>
  <dcterms:modified xsi:type="dcterms:W3CDTF">2025-12-08T11:32:03Z</dcterms:modified>
</cp:coreProperties>
</file>