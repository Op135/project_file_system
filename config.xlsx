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F:\Python\project_file_system\"/>
    </mc:Choice>
  </mc:AlternateContent>
  <xr:revisionPtr revIDLastSave="0" documentId="13_ncr:1_{0C4D8288-0E2B-4265-B87E-E3996E8E4C1E}" xr6:coauthVersionLast="47" xr6:coauthVersionMax="47" xr10:uidLastSave="{00000000-0000-0000-0000-000000000000}"/>
  <bookViews>
    <workbookView xWindow="-108" yWindow="-108" windowWidth="30936" windowHeight="16896" xr2:uid="{00000000-000D-0000-FFFF-FFFF00000000}"/>
  </bookViews>
  <sheets>
    <sheet name="问题" sheetId="1" r:id="rId1"/>
    <sheet name="节点ID最大值记录"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F86" i="1"/>
  <c r="L408" i="1"/>
  <c r="C408" i="1"/>
  <c r="L327" i="1"/>
  <c r="L340" i="1"/>
  <c r="L168" i="1"/>
  <c r="L227" i="1"/>
  <c r="F11" i="1"/>
  <c r="L92" i="1"/>
  <c r="L91" i="1"/>
  <c r="L90" i="1"/>
  <c r="L89" i="1"/>
  <c r="F88" i="1"/>
  <c r="L17" i="1"/>
  <c r="C17" i="1"/>
  <c r="L44" i="1"/>
  <c r="L180" i="1"/>
  <c r="F13" i="1"/>
  <c r="F14" i="1" s="1"/>
  <c r="F15" i="1" s="1"/>
  <c r="F16" i="1" s="1"/>
  <c r="C405" i="1"/>
  <c r="C390" i="1"/>
  <c r="C387" i="1"/>
  <c r="C382" i="1"/>
  <c r="C189" i="1"/>
  <c r="C186" i="1"/>
  <c r="C21" i="1"/>
  <c r="C12" i="1"/>
  <c r="C10" i="1"/>
  <c r="C8" i="1"/>
  <c r="C6" i="1"/>
  <c r="C7" i="1"/>
  <c r="L5" i="1"/>
  <c r="L6" i="1" s="1"/>
  <c r="C5" i="1"/>
  <c r="L8" i="1"/>
  <c r="F9" i="1"/>
  <c r="A3" i="1" a="1"/>
  <c r="A3" i="1" l="1"/>
  <c r="L7" i="1"/>
  <c r="L407" i="1" l="1"/>
  <c r="L405" i="1"/>
  <c r="L404" i="1"/>
  <c r="L402" i="1"/>
  <c r="L401" i="1"/>
  <c r="L399" i="1"/>
  <c r="L398" i="1"/>
  <c r="L396" i="1"/>
  <c r="L395" i="1"/>
  <c r="L379" i="1"/>
  <c r="L376" i="1"/>
  <c r="L365" i="1"/>
  <c r="L368" i="1" s="1"/>
  <c r="L239" i="1"/>
  <c r="L234" i="1"/>
  <c r="L229" i="1"/>
  <c r="L226" i="1"/>
  <c r="L326" i="1"/>
  <c r="L325" i="1"/>
  <c r="L324" i="1"/>
  <c r="L323" i="1"/>
  <c r="L322" i="1"/>
  <c r="L321" i="1"/>
  <c r="L320" i="1"/>
  <c r="L319" i="1"/>
  <c r="L314" i="1"/>
  <c r="L311" i="1"/>
  <c r="L313" i="1" s="1"/>
  <c r="L310" i="1"/>
  <c r="L309" i="1"/>
  <c r="L308" i="1"/>
  <c r="L285" i="1"/>
  <c r="L287" i="1" s="1"/>
  <c r="L282" i="1"/>
  <c r="L284" i="1" s="1"/>
  <c r="L254" i="1"/>
  <c r="L256" i="1" s="1"/>
  <c r="L215" i="1"/>
  <c r="L217" i="1" s="1"/>
  <c r="L212" i="1"/>
  <c r="L214" i="1" s="1"/>
  <c r="L207" i="1"/>
  <c r="L42" i="1"/>
  <c r="L100" i="1"/>
  <c r="L96" i="1"/>
  <c r="L80" i="1"/>
  <c r="L77" i="1"/>
  <c r="L60" i="1"/>
  <c r="L54" i="1"/>
  <c r="L56" i="1" s="1"/>
  <c r="L36" i="1"/>
  <c r="L37" i="1" s="1"/>
  <c r="L50" i="1"/>
  <c r="L53" i="1" s="1"/>
  <c r="L46" i="1"/>
  <c r="L49" i="1" s="1"/>
  <c r="L85" i="1" s="1"/>
  <c r="L34" i="1"/>
  <c r="L28" i="1"/>
  <c r="L20" i="1"/>
  <c r="F318" i="1"/>
  <c r="F280" i="1"/>
  <c r="L281" i="1"/>
  <c r="F286" i="1"/>
  <c r="F283" i="1"/>
  <c r="F312" i="1"/>
  <c r="L21" i="1"/>
  <c r="F255" i="1"/>
  <c r="L253" i="1"/>
  <c r="F252" i="1"/>
  <c r="F216" i="1"/>
  <c r="F213" i="1"/>
  <c r="F48" i="1"/>
  <c r="L18" i="1"/>
  <c r="L22" i="1" s="1"/>
  <c r="F19" i="1"/>
  <c r="L63" i="1" l="1"/>
  <c r="L38" i="1"/>
  <c r="L39" i="1"/>
  <c r="L95" i="1"/>
  <c r="F94" i="1" l="1"/>
  <c r="F238" i="1"/>
  <c r="L10" i="1"/>
  <c r="L390" i="1"/>
  <c r="L392" i="1" s="1"/>
  <c r="F391" i="1"/>
  <c r="L62" i="1"/>
  <c r="F61" i="1"/>
  <c r="L23" i="1"/>
  <c r="F25" i="1"/>
  <c r="F43" i="1"/>
  <c r="L387" i="1"/>
  <c r="L389" i="1" s="1"/>
  <c r="F388" i="1"/>
  <c r="F51" i="1"/>
  <c r="F52" i="1" s="1"/>
  <c r="L306" i="1"/>
  <c r="F307" i="1"/>
  <c r="F406" i="1" l="1"/>
  <c r="F403" i="1"/>
  <c r="F400" i="1"/>
  <c r="F397" i="1"/>
  <c r="F394" i="1"/>
  <c r="L341" i="1"/>
  <c r="L343" i="1" s="1"/>
  <c r="L347" i="1" s="1"/>
  <c r="L348" i="1" s="1"/>
  <c r="L265" i="1"/>
  <c r="L267" i="1" s="1"/>
  <c r="L221" i="1"/>
  <c r="L223" i="1" s="1"/>
  <c r="F380" i="1"/>
  <c r="F377" i="1"/>
  <c r="F374" i="1"/>
  <c r="F362" i="1"/>
  <c r="F383" i="1"/>
  <c r="F384" i="1" s="1"/>
  <c r="F385" i="1" s="1"/>
  <c r="F386" i="1" s="1"/>
  <c r="F371" i="1"/>
  <c r="F366" i="1"/>
  <c r="F354" i="1"/>
  <c r="F351" i="1"/>
  <c r="F352" i="1" s="1"/>
  <c r="F349" i="1"/>
  <c r="F344" i="1"/>
  <c r="F345" i="1" s="1"/>
  <c r="F346" i="1" s="1"/>
  <c r="F342" i="1"/>
  <c r="F338" i="1"/>
  <c r="F331" i="1"/>
  <c r="F332" i="1" s="1"/>
  <c r="F333" i="1" s="1"/>
  <c r="F334" i="1" s="1"/>
  <c r="F335" i="1" s="1"/>
  <c r="F336" i="1" s="1"/>
  <c r="F329" i="1"/>
  <c r="F289" i="1"/>
  <c r="F290" i="1" s="1"/>
  <c r="F291" i="1" s="1"/>
  <c r="F292" i="1" s="1"/>
  <c r="F293" i="1" s="1"/>
  <c r="F294" i="1" s="1"/>
  <c r="F295" i="1" s="1"/>
  <c r="F296" i="1" s="1"/>
  <c r="F297" i="1" s="1"/>
  <c r="F298" i="1" s="1"/>
  <c r="F299" i="1" s="1"/>
  <c r="F277" i="1"/>
  <c r="F275" i="1"/>
  <c r="F266" i="1"/>
  <c r="F273" i="1"/>
  <c r="F271" i="1"/>
  <c r="F269" i="1"/>
  <c r="F260" i="1"/>
  <c r="F261" i="1" s="1"/>
  <c r="F262" i="1" s="1"/>
  <c r="F263" i="1" s="1"/>
  <c r="F258" i="1"/>
  <c r="F235" i="1"/>
  <c r="F232" i="1"/>
  <c r="F230" i="1"/>
  <c r="F222" i="1"/>
  <c r="F219" i="1"/>
  <c r="F210" i="1"/>
  <c r="F208" i="1"/>
  <c r="F206" i="1"/>
  <c r="F204" i="1"/>
  <c r="F202" i="1"/>
  <c r="F199" i="1"/>
  <c r="F196" i="1"/>
  <c r="F193" i="1"/>
  <c r="F190" i="1"/>
  <c r="F187" i="1"/>
  <c r="F181" i="1"/>
  <c r="F182" i="1" s="1"/>
  <c r="F183" i="1" s="1"/>
  <c r="F184" i="1" s="1"/>
  <c r="F185" i="1" s="1"/>
  <c r="F170" i="1"/>
  <c r="F171" i="1" s="1"/>
  <c r="F172" i="1" s="1"/>
  <c r="F173" i="1" s="1"/>
  <c r="F174" i="1" s="1"/>
  <c r="F135" i="1"/>
  <c r="F136" i="1" s="1"/>
  <c r="F137" i="1" s="1"/>
  <c r="F138" i="1" s="1"/>
  <c r="F139" i="1" s="1"/>
  <c r="F140" i="1" s="1"/>
  <c r="F141" i="1" s="1"/>
  <c r="F142" i="1" s="1"/>
  <c r="F143" i="1" s="1"/>
  <c r="F144" i="1" s="1"/>
  <c r="F145" i="1" s="1"/>
  <c r="F146" i="1" s="1"/>
  <c r="F147" i="1" s="1"/>
  <c r="F148" i="1" s="1"/>
  <c r="F149" i="1" s="1"/>
  <c r="F150" i="1" s="1"/>
  <c r="F107" i="1"/>
  <c r="F108" i="1" s="1"/>
  <c r="F109" i="1" s="1"/>
  <c r="F110" i="1" s="1"/>
  <c r="F111" i="1" s="1"/>
  <c r="F112" i="1" s="1"/>
  <c r="F113" i="1" s="1"/>
  <c r="F114" i="1" s="1"/>
  <c r="F115" i="1" s="1"/>
  <c r="F116" i="1" s="1"/>
  <c r="F117" i="1" s="1"/>
  <c r="F118" i="1" s="1"/>
  <c r="F119" i="1" s="1"/>
  <c r="F41" i="1"/>
  <c r="F103" i="1"/>
  <c r="F101" i="1"/>
  <c r="F97" i="1"/>
  <c r="F75" i="1"/>
  <c r="F69" i="1"/>
  <c r="F70" i="1" s="1"/>
  <c r="F66" i="1"/>
  <c r="F67" i="1" s="1"/>
  <c r="F83" i="1"/>
  <c r="F81" i="1"/>
  <c r="F64" i="1"/>
  <c r="F58" i="1"/>
  <c r="F55" i="1"/>
  <c r="F78" i="1"/>
  <c r="F45" i="1"/>
  <c r="F35" i="1"/>
  <c r="F29" i="1"/>
  <c r="F30" i="1" s="1"/>
  <c r="F31" i="1" s="1"/>
  <c r="F32" i="1" s="1"/>
  <c r="F33" i="1" s="1"/>
  <c r="F27" i="1"/>
  <c r="F4" i="1"/>
  <c r="L381" i="1"/>
  <c r="L378" i="1"/>
  <c r="L373" i="1"/>
  <c r="L375" i="1" s="1"/>
  <c r="L363" i="1"/>
  <c r="L370" i="1"/>
  <c r="L372" i="1" s="1"/>
  <c r="L367" i="1"/>
  <c r="L276" i="1"/>
  <c r="L278" i="1" s="1"/>
  <c r="L272" i="1"/>
  <c r="L270" i="1"/>
  <c r="L264" i="1"/>
  <c r="L259" i="1"/>
  <c r="L236" i="1"/>
  <c r="L231" i="1"/>
  <c r="L233" i="1" s="1"/>
  <c r="L218" i="1"/>
  <c r="L220" i="1" s="1"/>
  <c r="L211" i="1"/>
  <c r="L205" i="1"/>
  <c r="L203" i="1"/>
  <c r="L200" i="1"/>
  <c r="L195" i="1"/>
  <c r="L197" i="1" s="1"/>
  <c r="L192" i="1"/>
  <c r="L194" i="1" s="1"/>
  <c r="L189" i="1"/>
  <c r="L191" i="1" s="1"/>
  <c r="L188" i="1"/>
  <c r="L175" i="1"/>
  <c r="L106" i="1"/>
  <c r="L130" i="1" s="1"/>
  <c r="L105" i="1"/>
  <c r="L104" i="1"/>
  <c r="L134" i="1" s="1"/>
  <c r="L102" i="1"/>
  <c r="L99" i="1"/>
  <c r="L98" i="1"/>
  <c r="L82" i="1"/>
  <c r="L84" i="1" s="1"/>
  <c r="L79" i="1"/>
  <c r="L12" i="1"/>
  <c r="F72" i="1" l="1"/>
  <c r="F71" i="1"/>
  <c r="L350" i="1"/>
  <c r="L353" i="1" s="1"/>
  <c r="L355" i="1" s="1"/>
  <c r="L356" i="1"/>
  <c r="L330" i="1"/>
  <c r="L357" i="1" s="1"/>
  <c r="F300" i="1"/>
  <c r="F301" i="1" s="1"/>
  <c r="F302" i="1" s="1"/>
  <c r="F303" i="1" s="1"/>
  <c r="F304" i="1" s="1"/>
  <c r="F305" i="1" s="1"/>
  <c r="L124" i="1"/>
  <c r="L127" i="1"/>
  <c r="L177" i="1"/>
  <c r="L178" i="1"/>
  <c r="L133" i="1"/>
  <c r="L68" i="1"/>
  <c r="L122" i="1"/>
  <c r="L65" i="1"/>
  <c r="L123" i="1"/>
  <c r="L176" i="1"/>
  <c r="L125" i="1"/>
  <c r="L126" i="1"/>
  <c r="L131" i="1"/>
  <c r="L364" i="1"/>
  <c r="L132" i="1"/>
  <c r="L179" i="1"/>
  <c r="L164" i="1"/>
  <c r="L155" i="1"/>
  <c r="L166" i="1"/>
  <c r="L157" i="1"/>
  <c r="L163" i="1"/>
  <c r="L154" i="1"/>
  <c r="L161" i="1"/>
  <c r="L156" i="1"/>
  <c r="L162" i="1"/>
  <c r="L153" i="1"/>
  <c r="L160" i="1"/>
  <c r="L152" i="1"/>
  <c r="L167" i="1"/>
  <c r="L159" i="1"/>
  <c r="L151" i="1"/>
  <c r="L158" i="1"/>
  <c r="L165" i="1"/>
  <c r="L128" i="1"/>
  <c r="L57" i="1"/>
  <c r="L59" i="1" s="1"/>
  <c r="L120" i="1"/>
  <c r="L129" i="1"/>
  <c r="L121" i="1"/>
  <c r="B2" i="1"/>
  <c r="A4" i="1" a="1"/>
  <c r="L74" i="1" l="1"/>
  <c r="L76" i="1" s="1"/>
  <c r="L73" i="1"/>
  <c r="L360" i="1"/>
  <c r="L337" i="1"/>
  <c r="L339" i="1" s="1"/>
  <c r="A4" i="1"/>
  <c r="A5" i="1" a="1"/>
  <c r="A5" i="1" l="1"/>
  <c r="L249" i="1"/>
  <c r="L242" i="1"/>
  <c r="L244" i="1" s="1"/>
  <c r="A6" i="1" a="1"/>
  <c r="O7" i="1" l="1"/>
  <c r="A6" i="1"/>
  <c r="O6" i="1"/>
  <c r="L245" i="1"/>
  <c r="L250" i="1" s="1"/>
  <c r="A7" i="1" a="1"/>
  <c r="P7" i="1" l="1"/>
  <c r="A7" i="1"/>
  <c r="A8" i="1" a="1"/>
  <c r="A8" i="1" l="1"/>
  <c r="A9" i="1" a="1"/>
  <c r="A9" i="1" l="1"/>
  <c r="A10" i="1" a="1"/>
  <c r="A10" i="1" l="1"/>
  <c r="A11" i="1" a="1"/>
  <c r="A11" i="1" l="1"/>
  <c r="A12" i="1" a="1"/>
  <c r="A12" i="1" l="1"/>
  <c r="A13" i="1" a="1"/>
  <c r="C100" i="1" l="1"/>
  <c r="C96" i="1"/>
  <c r="C40" i="1"/>
  <c r="C87" i="1"/>
  <c r="A13" i="1"/>
  <c r="C224" i="1"/>
  <c r="C221" i="1"/>
  <c r="C402" i="1"/>
  <c r="C279" i="1"/>
  <c r="C274" i="1"/>
  <c r="C23" i="1"/>
  <c r="C192" i="1"/>
  <c r="C268" i="1"/>
  <c r="C195" i="1"/>
  <c r="C373" i="1"/>
  <c r="C282" i="1"/>
  <c r="C205" i="1"/>
  <c r="C361" i="1"/>
  <c r="C256" i="1"/>
  <c r="C393" i="1"/>
  <c r="C399" i="1"/>
  <c r="C254" i="1"/>
  <c r="C288" i="1"/>
  <c r="C237" i="1"/>
  <c r="C365" i="1"/>
  <c r="C341" i="1"/>
  <c r="C218" i="1"/>
  <c r="C257" i="1"/>
  <c r="C209" i="1"/>
  <c r="C379" i="1"/>
  <c r="C276" i="1"/>
  <c r="C370" i="1"/>
  <c r="C26" i="1"/>
  <c r="C203" i="1"/>
  <c r="C93" i="1"/>
  <c r="C234" i="1"/>
  <c r="C265" i="1"/>
  <c r="C18" i="1"/>
  <c r="C198" i="1"/>
  <c r="C201" i="1"/>
  <c r="C357" i="1"/>
  <c r="C396" i="1"/>
  <c r="C102" i="1"/>
  <c r="C215" i="1"/>
  <c r="C328" i="1"/>
  <c r="C207" i="1"/>
  <c r="A14" i="1" a="1"/>
  <c r="A14" i="1" l="1"/>
  <c r="A15" i="1" a="1"/>
  <c r="C20" i="1" l="1"/>
  <c r="A15" i="1"/>
  <c r="C227" i="1" s="1"/>
  <c r="A16" i="1" a="1"/>
  <c r="C251" i="1" l="1"/>
  <c r="C212" i="1"/>
  <c r="C285" i="1"/>
  <c r="A16" i="1"/>
  <c r="A17" i="1" a="1"/>
  <c r="A17" i="1" l="1"/>
  <c r="A18" i="1" a="1"/>
  <c r="A18" i="1" l="1"/>
  <c r="A19" i="1" a="1"/>
  <c r="A19" i="1" l="1"/>
  <c r="A20" i="1" a="1"/>
  <c r="A20" i="1" l="1"/>
  <c r="A21" i="1" a="1"/>
  <c r="A21" i="1" l="1"/>
  <c r="A22" i="1" a="1"/>
  <c r="A22" i="1" l="1"/>
  <c r="A23" i="1" a="1"/>
  <c r="A23" i="1" l="1"/>
  <c r="A24" i="1" a="1"/>
  <c r="A24" i="1" l="1"/>
  <c r="A25" i="1" a="1"/>
  <c r="A25" i="1" l="1"/>
  <c r="A26" i="1" a="1"/>
  <c r="A26" i="1" l="1"/>
  <c r="A27" i="1" a="1"/>
  <c r="C44" i="1" l="1"/>
  <c r="A27" i="1"/>
  <c r="C28" i="1"/>
  <c r="C34" i="1"/>
  <c r="C38" i="1"/>
  <c r="C39" i="1"/>
  <c r="C77" i="1"/>
  <c r="A28" i="1" a="1"/>
  <c r="A28" i="1" l="1"/>
  <c r="A29" i="1" a="1"/>
  <c r="A29" i="1" l="1"/>
  <c r="A30" i="1" a="1"/>
  <c r="A30" i="1" l="1"/>
  <c r="A31" i="1" a="1"/>
  <c r="A31" i="1" l="1"/>
  <c r="A32" i="1" a="1"/>
  <c r="A32" i="1" l="1"/>
  <c r="A33" i="1" a="1"/>
  <c r="A33" i="1" l="1"/>
  <c r="A34" i="1" a="1"/>
  <c r="A34" i="1" l="1"/>
  <c r="A35" i="1" a="1"/>
  <c r="A35" i="1" l="1"/>
  <c r="C36" i="1"/>
  <c r="C37" i="1"/>
  <c r="A36" i="1" a="1"/>
  <c r="A36" i="1" l="1"/>
  <c r="A37" i="1" a="1"/>
  <c r="A37" i="1" l="1"/>
  <c r="A38" i="1" a="1"/>
  <c r="A38" i="1" l="1"/>
  <c r="A39" i="1" a="1"/>
  <c r="A39" i="1" l="1"/>
  <c r="A40" i="1" a="1"/>
  <c r="A40" i="1" l="1"/>
  <c r="A41" i="1" a="1"/>
  <c r="A41" i="1" l="1"/>
  <c r="C42" i="1"/>
  <c r="C180" i="1"/>
  <c r="C169" i="1"/>
  <c r="A42" i="1" a="1"/>
  <c r="A42" i="1" l="1"/>
  <c r="A43" i="1" a="1"/>
  <c r="A43" i="1" l="1"/>
  <c r="A44" i="1" a="1"/>
  <c r="A44" i="1" l="1"/>
  <c r="A45" i="1" a="1"/>
  <c r="C65" i="1" l="1"/>
  <c r="C46" i="1"/>
  <c r="C50" i="1"/>
  <c r="A45" i="1"/>
  <c r="C80" i="1"/>
  <c r="C82" i="1"/>
  <c r="A46" i="1" a="1"/>
  <c r="A46" i="1" l="1"/>
  <c r="A47" i="1" a="1"/>
  <c r="A47" i="1" l="1"/>
  <c r="C60" i="1"/>
  <c r="C68" i="1"/>
  <c r="C54" i="1"/>
  <c r="C57" i="1"/>
  <c r="C49" i="1"/>
  <c r="A48" i="1" a="1"/>
  <c r="A48" i="1" l="1"/>
  <c r="A49" i="1" a="1"/>
  <c r="A49" i="1" l="1"/>
  <c r="A50" i="1" a="1"/>
  <c r="A50" i="1" l="1"/>
  <c r="A51" i="1" a="1"/>
  <c r="A51" i="1" l="1"/>
  <c r="C53" i="1" s="1"/>
  <c r="C63" i="1"/>
  <c r="A52" i="1" a="1"/>
  <c r="A52" i="1" l="1"/>
  <c r="A53" i="1" a="1"/>
  <c r="A53" i="1" l="1"/>
  <c r="A54" i="1" a="1"/>
  <c r="A54" i="1" l="1"/>
  <c r="C56" i="1" s="1"/>
  <c r="A55" i="1" a="1"/>
  <c r="A55" i="1" l="1"/>
  <c r="A56" i="1" a="1"/>
  <c r="A56" i="1" l="1"/>
  <c r="A57" i="1" a="1"/>
  <c r="A57" i="1" l="1"/>
  <c r="C59" i="1" s="1"/>
  <c r="A58" i="1" a="1"/>
  <c r="A58" i="1" l="1"/>
  <c r="A59" i="1" a="1"/>
  <c r="A59" i="1" l="1"/>
  <c r="A60" i="1" a="1"/>
  <c r="A60" i="1" l="1"/>
  <c r="C62" i="1" s="1"/>
  <c r="A61" i="1" a="1"/>
  <c r="A61" i="1" l="1"/>
  <c r="A62" i="1" a="1"/>
  <c r="A62" i="1" l="1"/>
  <c r="A63" i="1" a="1"/>
  <c r="A63" i="1" l="1"/>
  <c r="A64" i="1" a="1"/>
  <c r="A64" i="1" l="1"/>
  <c r="A65" i="1" a="1"/>
  <c r="A65" i="1" l="1"/>
  <c r="A66" i="1" a="1"/>
  <c r="A66" i="1" l="1"/>
  <c r="A67" i="1" a="1"/>
  <c r="A67" i="1" l="1"/>
  <c r="A68" i="1" a="1"/>
  <c r="A68" i="1" l="1"/>
  <c r="C85" i="1" s="1"/>
  <c r="A69" i="1" a="1"/>
  <c r="C74" i="1" l="1"/>
  <c r="A69" i="1"/>
  <c r="C73" i="1"/>
  <c r="A70" i="1" a="1"/>
  <c r="A70" i="1" l="1"/>
  <c r="A71" i="1" a="1"/>
  <c r="A71" i="1" l="1"/>
  <c r="A72" i="1" a="1"/>
  <c r="A72" i="1" l="1"/>
  <c r="A73" i="1" a="1"/>
  <c r="A73" i="1" l="1"/>
  <c r="A74" i="1" a="1"/>
  <c r="A74" i="1" l="1"/>
  <c r="A75" i="1" a="1"/>
  <c r="A75" i="1" l="1"/>
  <c r="C76" i="1"/>
  <c r="A76" i="1" a="1"/>
  <c r="A76" i="1" l="1"/>
  <c r="A77" i="1" a="1"/>
  <c r="A77" i="1" l="1"/>
  <c r="A78" i="1" a="1"/>
  <c r="A78" i="1" l="1"/>
  <c r="C79" i="1"/>
  <c r="A79" i="1" a="1"/>
  <c r="A79" i="1" l="1"/>
  <c r="A80" i="1" a="1"/>
  <c r="A80" i="1" l="1"/>
  <c r="A81" i="1" a="1"/>
  <c r="A81" i="1" l="1"/>
  <c r="A82" i="1" a="1"/>
  <c r="A82" i="1" l="1"/>
  <c r="A83" i="1" a="1"/>
  <c r="A83" i="1" l="1"/>
  <c r="C84" i="1"/>
  <c r="A84" i="1" a="1"/>
  <c r="A84" i="1" l="1"/>
  <c r="A85" i="1" a="1"/>
  <c r="A85" i="1" l="1"/>
  <c r="A86" i="1" a="1"/>
  <c r="A86" i="1" l="1"/>
  <c r="A87" i="1" a="1"/>
  <c r="A87" i="1" l="1"/>
  <c r="A88" i="1" a="1"/>
  <c r="A88" i="1" l="1"/>
  <c r="C89" i="1"/>
  <c r="C91" i="1"/>
  <c r="C90" i="1"/>
  <c r="C92" i="1"/>
  <c r="A89" i="1" a="1"/>
  <c r="A89" i="1" l="1"/>
  <c r="A90" i="1" a="1"/>
  <c r="A90" i="1" l="1"/>
  <c r="A91" i="1" a="1"/>
  <c r="A91" i="1" l="1"/>
  <c r="A92" i="1" a="1"/>
  <c r="A92" i="1" l="1"/>
  <c r="A93" i="1" a="1"/>
  <c r="A93" i="1" l="1"/>
  <c r="A94" i="1" a="1"/>
  <c r="A94" i="1" l="1"/>
  <c r="C168" i="1"/>
  <c r="C95" i="1"/>
  <c r="A95" i="1" a="1"/>
  <c r="A95" i="1" l="1"/>
  <c r="A96" i="1" a="1"/>
  <c r="A96" i="1" l="1"/>
  <c r="A97" i="1" a="1"/>
  <c r="A97" i="1" l="1"/>
  <c r="C106" i="1"/>
  <c r="C98" i="1"/>
  <c r="A98" i="1" a="1"/>
  <c r="A98" i="1" l="1"/>
  <c r="C99" i="1"/>
  <c r="A99" i="1" a="1"/>
  <c r="A99" i="1" l="1"/>
  <c r="O99" i="1"/>
  <c r="O124" i="1"/>
  <c r="O130" i="1"/>
  <c r="O128" i="1"/>
  <c r="O129" i="1"/>
  <c r="O120" i="1"/>
  <c r="O131" i="1"/>
  <c r="O125" i="1"/>
  <c r="O123" i="1"/>
  <c r="O121" i="1"/>
  <c r="O133" i="1"/>
  <c r="O127" i="1"/>
  <c r="O126" i="1"/>
  <c r="O132" i="1"/>
  <c r="O122" i="1"/>
  <c r="A100" i="1" a="1"/>
  <c r="A100" i="1" l="1"/>
  <c r="P131" i="1"/>
  <c r="P121" i="1"/>
  <c r="P120" i="1"/>
  <c r="P126" i="1"/>
  <c r="P123" i="1"/>
  <c r="P129" i="1"/>
  <c r="P124" i="1"/>
  <c r="P128" i="1"/>
  <c r="P122" i="1"/>
  <c r="P127" i="1"/>
  <c r="P130" i="1"/>
  <c r="P125" i="1"/>
  <c r="P133" i="1"/>
  <c r="P132" i="1"/>
  <c r="A101" i="1" a="1"/>
  <c r="A101" i="1" l="1"/>
  <c r="A102" i="1" a="1"/>
  <c r="A102" i="1" l="1"/>
  <c r="A103" i="1" a="1"/>
  <c r="A103" i="1" l="1"/>
  <c r="C105" i="1"/>
  <c r="C134" i="1"/>
  <c r="C104" i="1"/>
  <c r="A104" i="1" a="1"/>
  <c r="A104" i="1" l="1"/>
  <c r="A105" i="1" a="1"/>
  <c r="A105" i="1" l="1"/>
  <c r="O167" i="1"/>
  <c r="O178" i="1"/>
  <c r="O155" i="1"/>
  <c r="O175" i="1"/>
  <c r="O153" i="1"/>
  <c r="O154" i="1"/>
  <c r="O161" i="1"/>
  <c r="O160" i="1"/>
  <c r="O151" i="1"/>
  <c r="O166" i="1"/>
  <c r="O179" i="1"/>
  <c r="O165" i="1"/>
  <c r="O163" i="1"/>
  <c r="O176" i="1"/>
  <c r="O177" i="1"/>
  <c r="O158" i="1"/>
  <c r="O157" i="1"/>
  <c r="O105" i="1"/>
  <c r="O162" i="1"/>
  <c r="O156" i="1"/>
  <c r="O159" i="1"/>
  <c r="O152" i="1"/>
  <c r="O164" i="1"/>
  <c r="A106" i="1" a="1"/>
  <c r="A106" i="1" l="1"/>
  <c r="P176" i="1"/>
  <c r="P163" i="1"/>
  <c r="P160" i="1"/>
  <c r="P164" i="1"/>
  <c r="P158" i="1"/>
  <c r="P179" i="1"/>
  <c r="P151" i="1"/>
  <c r="P152" i="1"/>
  <c r="P167" i="1"/>
  <c r="P177" i="1"/>
  <c r="P162" i="1"/>
  <c r="P166" i="1"/>
  <c r="P159" i="1"/>
  <c r="P178" i="1"/>
  <c r="P156" i="1"/>
  <c r="P165" i="1"/>
  <c r="P154" i="1"/>
  <c r="P155" i="1"/>
  <c r="P153" i="1"/>
  <c r="P175" i="1"/>
  <c r="P161" i="1"/>
  <c r="P157" i="1"/>
  <c r="A107" i="1" a="1"/>
  <c r="A107" i="1" l="1"/>
  <c r="C123" i="1"/>
  <c r="C132" i="1"/>
  <c r="C126" i="1"/>
  <c r="C131" i="1"/>
  <c r="C133" i="1"/>
  <c r="C129" i="1"/>
  <c r="C120" i="1"/>
  <c r="C130" i="1"/>
  <c r="C121" i="1"/>
  <c r="C125" i="1"/>
  <c r="C128" i="1"/>
  <c r="C122" i="1"/>
  <c r="C124" i="1"/>
  <c r="A108" i="1" a="1"/>
  <c r="A108" i="1" l="1"/>
  <c r="C127" i="1"/>
  <c r="A109" i="1" a="1"/>
  <c r="A109" i="1" l="1"/>
  <c r="A110" i="1" a="1"/>
  <c r="A110" i="1" l="1"/>
  <c r="A111" i="1" a="1"/>
  <c r="A111" i="1" l="1"/>
  <c r="A112" i="1" a="1"/>
  <c r="A112" i="1" l="1"/>
  <c r="A113" i="1" a="1"/>
  <c r="A113" i="1" l="1"/>
  <c r="A114" i="1" a="1"/>
  <c r="A114" i="1" l="1"/>
  <c r="A115" i="1" a="1"/>
  <c r="A115" i="1" l="1"/>
  <c r="A116" i="1" a="1"/>
  <c r="A116" i="1" l="1"/>
  <c r="A117" i="1" a="1"/>
  <c r="A117" i="1" l="1"/>
  <c r="A118" i="1" a="1"/>
  <c r="A118" i="1" l="1"/>
  <c r="A119" i="1" a="1"/>
  <c r="A119" i="1" l="1"/>
  <c r="A120" i="1" a="1"/>
  <c r="A120" i="1" l="1"/>
  <c r="A121" i="1" a="1"/>
  <c r="A121" i="1" l="1"/>
  <c r="A122" i="1" a="1"/>
  <c r="A122" i="1" l="1"/>
  <c r="A123" i="1" a="1"/>
  <c r="A123" i="1" l="1"/>
  <c r="A124" i="1" a="1"/>
  <c r="A124" i="1" l="1"/>
  <c r="A125" i="1" a="1"/>
  <c r="A125" i="1" l="1"/>
  <c r="A126" i="1" a="1"/>
  <c r="A126" i="1" l="1"/>
  <c r="A127" i="1" a="1"/>
  <c r="A127" i="1" l="1"/>
  <c r="A128" i="1" a="1"/>
  <c r="A128" i="1" l="1"/>
  <c r="A129" i="1" a="1"/>
  <c r="A129" i="1" l="1"/>
  <c r="A130" i="1" a="1"/>
  <c r="A130" i="1" l="1"/>
  <c r="A131" i="1" a="1"/>
  <c r="A131" i="1" l="1"/>
  <c r="A132" i="1" a="1"/>
  <c r="A132" i="1" l="1"/>
  <c r="A133" i="1" a="1"/>
  <c r="A133" i="1" l="1"/>
  <c r="A134" i="1" a="1"/>
  <c r="A134" i="1" l="1"/>
  <c r="A135" i="1" a="1"/>
  <c r="A135" i="1" l="1"/>
  <c r="C152" i="1"/>
  <c r="C165" i="1"/>
  <c r="C154" i="1"/>
  <c r="C158" i="1"/>
  <c r="C155" i="1"/>
  <c r="C160" i="1"/>
  <c r="C157" i="1"/>
  <c r="C166" i="1"/>
  <c r="C167" i="1"/>
  <c r="C156" i="1"/>
  <c r="C163" i="1"/>
  <c r="C153" i="1"/>
  <c r="C164" i="1"/>
  <c r="C159" i="1"/>
  <c r="C162" i="1"/>
  <c r="C151" i="1"/>
  <c r="A136" i="1" a="1"/>
  <c r="A136" i="1" l="1"/>
  <c r="A137" i="1" a="1"/>
  <c r="A137" i="1" l="1"/>
  <c r="A138" i="1" a="1"/>
  <c r="A138" i="1" l="1"/>
  <c r="C161" i="1"/>
  <c r="A139" i="1" a="1"/>
  <c r="A139" i="1" l="1"/>
  <c r="A140" i="1" a="1"/>
  <c r="A140" i="1" l="1"/>
  <c r="A141" i="1" a="1"/>
  <c r="A141" i="1" l="1"/>
  <c r="A142" i="1" a="1"/>
  <c r="A142" i="1" l="1"/>
  <c r="A143" i="1" a="1"/>
  <c r="A143" i="1" l="1"/>
  <c r="A144" i="1" a="1"/>
  <c r="A144" i="1" l="1"/>
  <c r="A145" i="1" a="1"/>
  <c r="A145" i="1" l="1"/>
  <c r="A146" i="1" a="1"/>
  <c r="A146" i="1" l="1"/>
  <c r="A147" i="1" a="1"/>
  <c r="A147" i="1" l="1"/>
  <c r="A148" i="1" a="1"/>
  <c r="A148" i="1" l="1"/>
  <c r="A149" i="1" a="1"/>
  <c r="A149" i="1" l="1"/>
  <c r="A150" i="1" a="1"/>
  <c r="A150" i="1" l="1"/>
  <c r="A151" i="1" a="1"/>
  <c r="A151" i="1" l="1"/>
  <c r="A152" i="1" a="1"/>
  <c r="A152" i="1" l="1"/>
  <c r="A153" i="1" a="1"/>
  <c r="A153" i="1" l="1"/>
  <c r="A154" i="1" a="1"/>
  <c r="A154" i="1" l="1"/>
  <c r="A155" i="1" a="1"/>
  <c r="A155" i="1" l="1"/>
  <c r="A156" i="1" a="1"/>
  <c r="A156" i="1" l="1"/>
  <c r="A157" i="1" a="1"/>
  <c r="A157" i="1" l="1"/>
  <c r="A158" i="1" a="1"/>
  <c r="A158" i="1" l="1"/>
  <c r="A159" i="1" a="1"/>
  <c r="A159" i="1" l="1"/>
  <c r="A160" i="1" a="1"/>
  <c r="A160" i="1" l="1"/>
  <c r="A161" i="1" a="1"/>
  <c r="A161" i="1" l="1"/>
  <c r="A162" i="1" a="1"/>
  <c r="A162" i="1" l="1"/>
  <c r="A163" i="1" a="1"/>
  <c r="A163" i="1" l="1"/>
  <c r="A164" i="1" a="1"/>
  <c r="A164" i="1" l="1"/>
  <c r="A165" i="1" a="1"/>
  <c r="A165" i="1" l="1"/>
  <c r="A166" i="1" a="1"/>
  <c r="A166" i="1" l="1"/>
  <c r="A167" i="1" a="1"/>
  <c r="A167" i="1" l="1"/>
  <c r="A168" i="1" a="1"/>
  <c r="A168" i="1" l="1"/>
  <c r="A169" i="1" a="1"/>
  <c r="A169" i="1" l="1"/>
  <c r="A170" i="1" a="1"/>
  <c r="A170" i="1" l="1"/>
  <c r="C179" i="1"/>
  <c r="C175" i="1"/>
  <c r="C178" i="1"/>
  <c r="C176" i="1"/>
  <c r="C177" i="1"/>
  <c r="A171" i="1" a="1"/>
  <c r="A171" i="1" l="1"/>
  <c r="A172" i="1" a="1"/>
  <c r="A172" i="1" l="1"/>
  <c r="A173" i="1" a="1"/>
  <c r="A173" i="1" l="1"/>
  <c r="A174" i="1" a="1"/>
  <c r="A174" i="1" l="1"/>
  <c r="A175" i="1" a="1"/>
  <c r="A175" i="1" l="1"/>
  <c r="A176" i="1" a="1"/>
  <c r="A176" i="1" l="1"/>
  <c r="A177" i="1" a="1"/>
  <c r="A177" i="1" l="1"/>
  <c r="A178" i="1" a="1"/>
  <c r="A178" i="1" l="1"/>
  <c r="A179" i="1" a="1"/>
  <c r="A179" i="1" l="1"/>
  <c r="A180" i="1" a="1"/>
  <c r="A180" i="1" l="1"/>
  <c r="A181" i="1" a="1"/>
  <c r="A181" i="1" l="1"/>
  <c r="A182" i="1" a="1"/>
  <c r="A182" i="1" l="1"/>
  <c r="A183" i="1" a="1"/>
  <c r="A183" i="1" l="1"/>
  <c r="A184" i="1" a="1"/>
  <c r="A184" i="1" l="1"/>
  <c r="A185" i="1" a="1"/>
  <c r="A185" i="1" l="1"/>
  <c r="A186" i="1" a="1"/>
  <c r="A186" i="1" l="1"/>
  <c r="A187" i="1" a="1"/>
  <c r="A187" i="1" l="1"/>
  <c r="C188" i="1"/>
  <c r="A188" i="1" a="1"/>
  <c r="A188" i="1" l="1"/>
  <c r="A189" i="1" a="1"/>
  <c r="A189" i="1" l="1"/>
  <c r="A190" i="1" a="1"/>
  <c r="A190" i="1" l="1"/>
  <c r="C191" i="1"/>
  <c r="A191" i="1" a="1"/>
  <c r="A191" i="1" l="1"/>
  <c r="A192" i="1" a="1"/>
  <c r="A192" i="1" l="1"/>
  <c r="A193" i="1" a="1"/>
  <c r="A193" i="1" l="1"/>
  <c r="C194" i="1"/>
  <c r="A194" i="1" a="1"/>
  <c r="A194" i="1" l="1"/>
  <c r="A195" i="1" a="1"/>
  <c r="A195" i="1" l="1"/>
  <c r="A196" i="1" a="1"/>
  <c r="A196" i="1" l="1"/>
  <c r="C197" i="1"/>
  <c r="A197" i="1" a="1"/>
  <c r="A197" i="1" l="1"/>
  <c r="A198" i="1" a="1"/>
  <c r="A198" i="1" l="1"/>
  <c r="A199" i="1" a="1"/>
  <c r="A199" i="1" l="1"/>
  <c r="C200" i="1"/>
  <c r="A200" i="1" a="1"/>
  <c r="A200" i="1" l="1"/>
  <c r="A201" i="1" a="1"/>
  <c r="A201" i="1" l="1"/>
  <c r="A202" i="1" a="1"/>
  <c r="A202" i="1" l="1"/>
  <c r="A203" i="1" a="1"/>
  <c r="A203" i="1" l="1"/>
  <c r="A204" i="1" a="1"/>
  <c r="A204" i="1" l="1"/>
  <c r="A205" i="1" a="1"/>
  <c r="A205" i="1" l="1"/>
  <c r="A206" i="1" a="1"/>
  <c r="A206" i="1" l="1"/>
  <c r="A207" i="1" a="1"/>
  <c r="A207" i="1" l="1"/>
  <c r="A208" i="1" a="1"/>
  <c r="A208" i="1" l="1"/>
  <c r="A209" i="1" a="1"/>
  <c r="A209" i="1" l="1"/>
  <c r="A210" i="1" a="1"/>
  <c r="A210" i="1" l="1"/>
  <c r="C211" i="1"/>
  <c r="A211" i="1" a="1"/>
  <c r="A211" i="1" l="1"/>
  <c r="A212" i="1" a="1"/>
  <c r="A212" i="1" l="1"/>
  <c r="A213" i="1" a="1"/>
  <c r="A213" i="1" l="1"/>
  <c r="C214" i="1"/>
  <c r="A214" i="1" a="1"/>
  <c r="A214" i="1" l="1"/>
  <c r="A215" i="1" a="1"/>
  <c r="A215" i="1" l="1"/>
  <c r="A216" i="1" a="1"/>
  <c r="A216" i="1" l="1"/>
  <c r="C217" i="1"/>
  <c r="A217" i="1" a="1"/>
  <c r="A217" i="1" l="1"/>
  <c r="A218" i="1" a="1"/>
  <c r="A218" i="1" l="1"/>
  <c r="A219" i="1" a="1"/>
  <c r="A219" i="1" l="1"/>
  <c r="C220" i="1"/>
  <c r="A220" i="1" a="1"/>
  <c r="A220" i="1" l="1"/>
  <c r="A221" i="1" a="1"/>
  <c r="A221" i="1" l="1"/>
  <c r="A222" i="1" a="1"/>
  <c r="A222" i="1" l="1"/>
  <c r="C223" i="1"/>
  <c r="A223" i="1" a="1"/>
  <c r="A223" i="1" l="1"/>
  <c r="A224" i="1" a="1"/>
  <c r="A224" i="1" l="1"/>
  <c r="A225" i="1" a="1"/>
  <c r="A225" i="1" l="1"/>
  <c r="C226" i="1"/>
  <c r="A226" i="1" a="1"/>
  <c r="A226" i="1" l="1"/>
  <c r="A227" i="1" a="1"/>
  <c r="A227" i="1" l="1"/>
  <c r="A228" i="1" a="1"/>
  <c r="A228" i="1" l="1"/>
  <c r="C229" i="1"/>
  <c r="C231" i="1"/>
  <c r="A229" i="1" a="1"/>
  <c r="A229" i="1" l="1"/>
  <c r="A230" i="1" a="1"/>
  <c r="A230" i="1" l="1"/>
  <c r="C376" i="1"/>
  <c r="A231" i="1" a="1"/>
  <c r="A231" i="1" l="1"/>
  <c r="A232" i="1" a="1"/>
  <c r="A232" i="1" l="1"/>
  <c r="C233" i="1"/>
  <c r="A233" i="1" a="1"/>
  <c r="A233" i="1" l="1"/>
  <c r="A234" i="1" a="1"/>
  <c r="A234" i="1" l="1"/>
  <c r="A235" i="1" a="1"/>
  <c r="A235" i="1" l="1"/>
  <c r="C236" i="1"/>
  <c r="A236" i="1" a="1"/>
  <c r="A236" i="1" l="1"/>
  <c r="A237" i="1" a="1"/>
  <c r="A237" i="1" l="1"/>
  <c r="A238" i="1" a="1"/>
  <c r="A238" i="1" l="1"/>
  <c r="C245" i="1"/>
  <c r="C239" i="1"/>
  <c r="C242" i="1"/>
  <c r="A239" i="1" a="1"/>
  <c r="A239" i="1" l="1"/>
  <c r="A240" i="1" a="1"/>
  <c r="A240" i="1" l="1"/>
  <c r="A241" i="1" a="1"/>
  <c r="A241" i="1" l="1"/>
  <c r="A242" i="1" a="1"/>
  <c r="A242" i="1" l="1"/>
  <c r="A243" i="1" a="1"/>
  <c r="A243" i="1" l="1"/>
  <c r="C244" i="1"/>
  <c r="A244" i="1" a="1"/>
  <c r="A244" i="1" l="1"/>
  <c r="A245" i="1" a="1"/>
  <c r="A245" i="1" l="1"/>
  <c r="A246" i="1" a="1"/>
  <c r="A246" i="1" l="1"/>
  <c r="C249" i="1"/>
  <c r="C250" i="1"/>
  <c r="A247" i="1" a="1"/>
  <c r="A247" i="1" l="1"/>
  <c r="A248" i="1" a="1"/>
  <c r="A248" i="1" l="1"/>
  <c r="A249" i="1" a="1"/>
  <c r="A249" i="1" l="1"/>
  <c r="A250" i="1" a="1"/>
  <c r="A250" i="1" l="1"/>
  <c r="A251" i="1" a="1"/>
  <c r="A251" i="1" l="1"/>
  <c r="A252" i="1" a="1"/>
  <c r="A252" i="1" l="1"/>
  <c r="C253" i="1"/>
  <c r="A253" i="1" a="1"/>
  <c r="A253" i="1" l="1"/>
  <c r="A254" i="1" a="1"/>
  <c r="A254" i="1" l="1"/>
  <c r="A255" i="1" a="1"/>
  <c r="A255" i="1" l="1"/>
  <c r="A256" i="1" a="1"/>
  <c r="A256" i="1" l="1"/>
  <c r="A257" i="1" a="1"/>
  <c r="A257" i="1" l="1"/>
  <c r="A258" i="1" a="1"/>
  <c r="A258" i="1" l="1"/>
  <c r="C259" i="1"/>
  <c r="C264" i="1"/>
  <c r="A259" i="1" a="1"/>
  <c r="A259" i="1" l="1"/>
  <c r="A260" i="1" a="1"/>
  <c r="A260" i="1" l="1"/>
  <c r="A261" i="1" a="1"/>
  <c r="A261" i="1" l="1"/>
  <c r="A262" i="1" a="1"/>
  <c r="A262" i="1" l="1"/>
  <c r="A263" i="1" a="1"/>
  <c r="A263" i="1" l="1"/>
  <c r="A264" i="1" a="1"/>
  <c r="A264" i="1" l="1"/>
  <c r="A265" i="1" a="1"/>
  <c r="A265" i="1" l="1"/>
  <c r="A266" i="1" a="1"/>
  <c r="A266" i="1" l="1"/>
  <c r="C267" i="1"/>
  <c r="A267" i="1" a="1"/>
  <c r="A267" i="1" l="1"/>
  <c r="A268" i="1" a="1"/>
  <c r="A268" i="1" l="1"/>
  <c r="A269" i="1" a="1"/>
  <c r="A269" i="1" l="1"/>
  <c r="C270" i="1"/>
  <c r="C272" i="1"/>
  <c r="A270" i="1" a="1"/>
  <c r="A270" i="1" l="1"/>
  <c r="A271" i="1" a="1"/>
  <c r="A271" i="1" l="1"/>
  <c r="A272" i="1" a="1"/>
  <c r="A272" i="1" l="1"/>
  <c r="A273" i="1" a="1"/>
  <c r="A273" i="1" l="1"/>
  <c r="A274" i="1" a="1"/>
  <c r="A274" i="1" l="1"/>
  <c r="A275" i="1" a="1"/>
  <c r="A275" i="1" l="1"/>
  <c r="A276" i="1" a="1"/>
  <c r="A276" i="1" l="1"/>
  <c r="A277" i="1" a="1"/>
  <c r="A277" i="1" l="1"/>
  <c r="C278" i="1"/>
  <c r="A278" i="1" a="1"/>
  <c r="A278" i="1" l="1"/>
  <c r="A279" i="1" a="1"/>
  <c r="A279" i="1" l="1"/>
  <c r="A280" i="1" a="1"/>
  <c r="A280" i="1" l="1"/>
  <c r="C281" i="1"/>
  <c r="A281" i="1" a="1"/>
  <c r="A281" i="1" l="1"/>
  <c r="A282" i="1" a="1"/>
  <c r="A282" i="1" l="1"/>
  <c r="A283" i="1" a="1"/>
  <c r="A283" i="1" l="1"/>
  <c r="C284" i="1"/>
  <c r="A284" i="1" a="1"/>
  <c r="A284" i="1" l="1"/>
  <c r="A285" i="1" a="1"/>
  <c r="A285" i="1" l="1"/>
  <c r="A286" i="1" a="1"/>
  <c r="A286" i="1" l="1"/>
  <c r="C287" i="1"/>
  <c r="A287" i="1" a="1"/>
  <c r="A287" i="1" l="1"/>
  <c r="A288" i="1" a="1"/>
  <c r="A288" i="1" l="1"/>
  <c r="A289" i="1" a="1"/>
  <c r="A289" i="1" l="1"/>
  <c r="C308" i="1"/>
  <c r="C306" i="1"/>
  <c r="C309" i="1"/>
  <c r="C311" i="1"/>
  <c r="A290" i="1" a="1"/>
  <c r="A290" i="1" l="1"/>
  <c r="C310" i="1"/>
  <c r="A291" i="1" a="1"/>
  <c r="A291" i="1" l="1"/>
  <c r="A292" i="1" a="1"/>
  <c r="A292" i="1" l="1"/>
  <c r="C314" i="1"/>
  <c r="A293" i="1" a="1"/>
  <c r="A293" i="1" l="1"/>
  <c r="C319" i="1"/>
  <c r="A294" i="1" a="1"/>
  <c r="A294" i="1" l="1"/>
  <c r="C320" i="1"/>
  <c r="A295" i="1" a="1"/>
  <c r="A295" i="1" l="1"/>
  <c r="C321" i="1"/>
  <c r="A296" i="1" a="1"/>
  <c r="A296" i="1" l="1"/>
  <c r="C322" i="1"/>
  <c r="A297" i="1" a="1"/>
  <c r="A297" i="1" l="1"/>
  <c r="C323" i="1"/>
  <c r="A298" i="1" a="1"/>
  <c r="A298" i="1" l="1"/>
  <c r="C324" i="1"/>
  <c r="A299" i="1" a="1"/>
  <c r="A299" i="1" l="1"/>
  <c r="C325" i="1"/>
  <c r="A300" i="1" a="1"/>
  <c r="A300" i="1" l="1"/>
  <c r="C326" i="1"/>
  <c r="A301" i="1" a="1"/>
  <c r="A301" i="1" l="1"/>
  <c r="C327" i="1"/>
  <c r="A302" i="1" a="1"/>
  <c r="A302" i="1" l="1"/>
  <c r="A303" i="1" a="1"/>
  <c r="A303" i="1" l="1"/>
  <c r="A304" i="1" a="1"/>
  <c r="A304" i="1" l="1"/>
  <c r="A305" i="1" a="1"/>
  <c r="A305" i="1" l="1"/>
  <c r="A306" i="1" a="1"/>
  <c r="A306" i="1" l="1"/>
  <c r="A307" i="1" a="1"/>
  <c r="A307" i="1" l="1"/>
  <c r="A308" i="1" a="1"/>
  <c r="A308" i="1" l="1"/>
  <c r="A309" i="1" a="1"/>
  <c r="A309" i="1" l="1"/>
  <c r="A310" i="1" a="1"/>
  <c r="A310" i="1" l="1"/>
  <c r="A311" i="1" a="1"/>
  <c r="A311" i="1" l="1"/>
  <c r="A312" i="1" a="1"/>
  <c r="A312" i="1" l="1"/>
  <c r="C313" i="1"/>
  <c r="A313" i="1" a="1"/>
  <c r="A313" i="1" l="1"/>
  <c r="A314" i="1" a="1"/>
  <c r="A314" i="1" l="1"/>
  <c r="A315" i="1" a="1"/>
  <c r="A315" i="1" l="1"/>
  <c r="A316" i="1" a="1"/>
  <c r="A316" i="1" l="1"/>
  <c r="A317" i="1" a="1"/>
  <c r="A317" i="1" l="1"/>
  <c r="A318" i="1" a="1"/>
  <c r="A318" i="1" l="1"/>
  <c r="A319" i="1" a="1"/>
  <c r="A319" i="1" l="1"/>
  <c r="A320" i="1" a="1"/>
  <c r="A320" i="1" l="1"/>
  <c r="A321" i="1" a="1"/>
  <c r="A321" i="1" l="1"/>
  <c r="A322" i="1" a="1"/>
  <c r="A322" i="1" l="1"/>
  <c r="A323" i="1" a="1"/>
  <c r="A323" i="1" l="1"/>
  <c r="A324" i="1" a="1"/>
  <c r="A324" i="1" l="1"/>
  <c r="A325" i="1" a="1"/>
  <c r="A325" i="1" l="1"/>
  <c r="A326" i="1" a="1"/>
  <c r="A326" i="1" l="1"/>
  <c r="A327" i="1" a="1"/>
  <c r="A327" i="1" l="1"/>
  <c r="A328" i="1" a="1"/>
  <c r="A328" i="1" l="1"/>
  <c r="A329" i="1" a="1"/>
  <c r="A329" i="1" l="1"/>
  <c r="C330" i="1"/>
  <c r="C340" i="1"/>
  <c r="C337" i="1"/>
  <c r="A330" i="1" a="1"/>
  <c r="A330" i="1" l="1"/>
  <c r="A331" i="1" a="1"/>
  <c r="A331" i="1" l="1"/>
  <c r="A332" i="1" a="1"/>
  <c r="A332" i="1" l="1"/>
  <c r="A333" i="1" a="1"/>
  <c r="A333" i="1" l="1"/>
  <c r="A334" i="1" a="1"/>
  <c r="A334" i="1" l="1"/>
  <c r="A335" i="1" a="1"/>
  <c r="A335" i="1" l="1"/>
  <c r="A336" i="1" a="1"/>
  <c r="A336" i="1" l="1"/>
  <c r="A337" i="1" a="1"/>
  <c r="A337" i="1" l="1"/>
  <c r="A338" i="1" a="1"/>
  <c r="A338" i="1" l="1"/>
  <c r="C339" i="1"/>
  <c r="A339" i="1" a="1"/>
  <c r="A339" i="1" l="1"/>
  <c r="A340" i="1" a="1"/>
  <c r="A340" i="1" l="1"/>
  <c r="A341" i="1" a="1"/>
  <c r="A341" i="1" l="1"/>
  <c r="A342" i="1" a="1"/>
  <c r="A342" i="1" l="1"/>
  <c r="C343" i="1"/>
  <c r="C347" i="1"/>
  <c r="C348" i="1"/>
  <c r="A343" i="1" a="1"/>
  <c r="A343" i="1" l="1"/>
  <c r="A344" i="1" a="1"/>
  <c r="A344" i="1" l="1"/>
  <c r="A345" i="1" a="1"/>
  <c r="A345" i="1" l="1"/>
  <c r="A346" i="1" a="1"/>
  <c r="A346" i="1" l="1"/>
  <c r="A347" i="1" a="1"/>
  <c r="A347" i="1" l="1"/>
  <c r="A348" i="1" a="1"/>
  <c r="A348" i="1" l="1"/>
  <c r="A349" i="1" a="1"/>
  <c r="A349" i="1" l="1"/>
  <c r="C350" i="1"/>
  <c r="C353" i="1"/>
  <c r="C356" i="1"/>
  <c r="A350" i="1" a="1"/>
  <c r="A350" i="1" l="1"/>
  <c r="A351" i="1" a="1"/>
  <c r="A351" i="1" l="1"/>
  <c r="A352" i="1" a="1"/>
  <c r="A352" i="1" l="1"/>
  <c r="A353" i="1" a="1"/>
  <c r="A353" i="1" l="1"/>
  <c r="A354" i="1" a="1"/>
  <c r="A354" i="1" l="1"/>
  <c r="C355" i="1"/>
  <c r="A355" i="1" a="1"/>
  <c r="A355" i="1" l="1"/>
  <c r="A356" i="1" a="1"/>
  <c r="A356" i="1" l="1"/>
  <c r="A357" i="1" a="1"/>
  <c r="A357" i="1" l="1"/>
  <c r="A358" i="1" a="1"/>
  <c r="A358" i="1" l="1"/>
  <c r="C360" i="1"/>
  <c r="A359" i="1" a="1"/>
  <c r="A359" i="1" l="1"/>
  <c r="A360" i="1" a="1"/>
  <c r="A360" i="1" l="1"/>
  <c r="A361" i="1" a="1"/>
  <c r="A361" i="1" l="1"/>
  <c r="A362" i="1" a="1"/>
  <c r="A362" i="1" l="1"/>
  <c r="C364" i="1"/>
  <c r="C363" i="1"/>
  <c r="A363" i="1" a="1"/>
  <c r="A363" i="1" l="1"/>
  <c r="A364" i="1" a="1"/>
  <c r="A364" i="1" l="1"/>
  <c r="A365" i="1" a="1"/>
  <c r="A365" i="1" l="1"/>
  <c r="A366" i="1" a="1"/>
  <c r="A366" i="1" l="1"/>
  <c r="C368" i="1"/>
  <c r="C367" i="1"/>
  <c r="A367" i="1" a="1"/>
  <c r="A367" i="1" l="1"/>
  <c r="A368" i="1" a="1"/>
  <c r="A368" i="1" l="1"/>
  <c r="A369" i="1" a="1"/>
  <c r="A369" i="1" l="1"/>
  <c r="A370" i="1" a="1"/>
  <c r="A370" i="1" l="1"/>
  <c r="A371" i="1" a="1"/>
  <c r="A371" i="1" l="1"/>
  <c r="C372" i="1"/>
  <c r="A372" i="1" a="1"/>
  <c r="A372" i="1" l="1"/>
  <c r="A373" i="1" a="1"/>
  <c r="A373" i="1" l="1"/>
  <c r="A374" i="1" a="1"/>
  <c r="A374" i="1" l="1"/>
  <c r="C375" i="1"/>
  <c r="A375" i="1" a="1"/>
  <c r="A375" i="1" l="1"/>
  <c r="A376" i="1" a="1"/>
  <c r="A376" i="1" l="1"/>
  <c r="A377" i="1" a="1"/>
  <c r="A377" i="1" l="1"/>
  <c r="C378" i="1"/>
  <c r="A2" i="2"/>
  <c r="A378" i="1" a="1"/>
  <c r="A378" i="1" l="1"/>
  <c r="A379" i="1" a="1"/>
  <c r="A379" i="1" l="1"/>
  <c r="A380" i="1" a="1"/>
  <c r="A380" i="1" l="1"/>
  <c r="C381" i="1"/>
  <c r="A381" i="1" a="1"/>
  <c r="A381" i="1" l="1"/>
  <c r="A382" i="1" a="1"/>
  <c r="A382" i="1" l="1"/>
  <c r="A383" i="1" a="1"/>
  <c r="A383" i="1" l="1"/>
  <c r="A384" i="1" a="1"/>
  <c r="A384" i="1" l="1"/>
  <c r="A385" i="1" a="1"/>
  <c r="A385" i="1" l="1"/>
  <c r="A386" i="1" a="1"/>
  <c r="A386" i="1" l="1"/>
  <c r="A387" i="1" a="1"/>
  <c r="A387" i="1" l="1"/>
  <c r="A388" i="1" a="1"/>
  <c r="A388" i="1" l="1"/>
  <c r="C389" i="1"/>
  <c r="A389" i="1" a="1"/>
  <c r="A389" i="1" l="1"/>
  <c r="A390" i="1" a="1"/>
  <c r="A390" i="1" l="1"/>
  <c r="A391" i="1" a="1"/>
  <c r="A391" i="1" l="1"/>
  <c r="C392" i="1"/>
  <c r="A392" i="1" a="1"/>
  <c r="A392" i="1" l="1"/>
  <c r="A393" i="1" a="1"/>
  <c r="A393" i="1" l="1"/>
  <c r="A394" i="1" a="1"/>
  <c r="A394" i="1" l="1"/>
  <c r="C395" i="1"/>
  <c r="A395" i="1" a="1"/>
  <c r="A395" i="1" l="1"/>
  <c r="A396" i="1" a="1"/>
  <c r="A396" i="1" l="1"/>
  <c r="A397" i="1" a="1"/>
  <c r="A397" i="1" l="1"/>
  <c r="C398" i="1"/>
  <c r="A398" i="1" a="1"/>
  <c r="A398" i="1" l="1"/>
  <c r="A399" i="1" a="1"/>
  <c r="A399" i="1" l="1"/>
  <c r="A400" i="1" a="1"/>
  <c r="A400" i="1" l="1"/>
  <c r="C401" i="1"/>
  <c r="A401" i="1" a="1"/>
  <c r="A401" i="1" l="1"/>
  <c r="A402" i="1" a="1"/>
  <c r="A402" i="1" l="1"/>
  <c r="A403" i="1" a="1"/>
  <c r="A403" i="1" l="1"/>
  <c r="C404" i="1"/>
  <c r="A404" i="1" a="1"/>
  <c r="A404" i="1" l="1"/>
  <c r="A405" i="1" a="1"/>
  <c r="A405" i="1" l="1"/>
  <c r="A406" i="1" a="1"/>
  <c r="A406" i="1" l="1"/>
  <c r="C407" i="1"/>
  <c r="A407" i="1" a="1"/>
  <c r="A407" i="1" l="1"/>
  <c r="A408" i="1" a="1"/>
  <c r="A40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<sst xmlns="http://schemas.openxmlformats.org/spreadsheetml/2006/main" count="2615" uniqueCount="1075">
  <si>
    <t>选项</t>
    <phoneticPr fontId="54" type="noConversion"/>
  </si>
  <si>
    <t>是</t>
    <phoneticPr fontId="54" type="noConversion"/>
  </si>
  <si>
    <t>否</t>
    <phoneticPr fontId="54" type="noConversion"/>
  </si>
  <si>
    <t>引导描述</t>
    <phoneticPr fontId="54" type="noConversion"/>
  </si>
  <si>
    <t>答案类型</t>
    <phoneticPr fontId="54" type="noConversion"/>
  </si>
  <si>
    <t>单选</t>
    <phoneticPr fontId="54" type="noConversion"/>
  </si>
  <si>
    <t>多选</t>
    <phoneticPr fontId="54" type="noConversion"/>
  </si>
  <si>
    <t>产品形态属于整机还是模组</t>
    <phoneticPr fontId="54" type="noConversion"/>
  </si>
  <si>
    <t>整机</t>
    <phoneticPr fontId="54" type="noConversion"/>
  </si>
  <si>
    <t>模组</t>
    <phoneticPr fontId="54" type="noConversion"/>
  </si>
  <si>
    <t>该产品将包含哪些功能组成</t>
    <phoneticPr fontId="54" type="noConversion"/>
  </si>
  <si>
    <t>机械结构</t>
    <phoneticPr fontId="54" type="noConversion"/>
  </si>
  <si>
    <t>软件控制</t>
    <phoneticPr fontId="54" type="noConversion"/>
  </si>
  <si>
    <t>产品电源输入类型</t>
    <phoneticPr fontId="54" type="noConversion"/>
  </si>
  <si>
    <t>直流</t>
    <phoneticPr fontId="54" type="noConversion"/>
  </si>
  <si>
    <t>交流</t>
    <phoneticPr fontId="54" type="noConversion"/>
  </si>
  <si>
    <t>输出标签</t>
    <phoneticPr fontId="54" type="noConversion"/>
  </si>
  <si>
    <t>请选择产品控制模式</t>
    <phoneticPr fontId="54" type="noConversion"/>
  </si>
  <si>
    <t>TTL</t>
  </si>
  <si>
    <t>TTL</t>
    <phoneticPr fontId="54" type="noConversion"/>
  </si>
  <si>
    <t>PWM</t>
    <phoneticPr fontId="54" type="noConversion"/>
  </si>
  <si>
    <t>RS232</t>
  </si>
  <si>
    <t>RS232</t>
    <phoneticPr fontId="54" type="noConversion"/>
  </si>
  <si>
    <t>RS422</t>
  </si>
  <si>
    <t>RS422</t>
    <phoneticPr fontId="54" type="noConversion"/>
  </si>
  <si>
    <t>RS485</t>
  </si>
  <si>
    <t>RS485</t>
    <phoneticPr fontId="54" type="noConversion"/>
  </si>
  <si>
    <t>IIC</t>
  </si>
  <si>
    <t>IIC</t>
    <phoneticPr fontId="54" type="noConversion"/>
  </si>
  <si>
    <t>SPI</t>
  </si>
  <si>
    <t>SPI</t>
    <phoneticPr fontId="54" type="noConversion"/>
  </si>
  <si>
    <t>USB</t>
  </si>
  <si>
    <t>USB</t>
    <phoneticPr fontId="54" type="noConversion"/>
  </si>
  <si>
    <t>CAN</t>
  </si>
  <si>
    <t>CAN</t>
    <phoneticPr fontId="54" type="noConversion"/>
  </si>
  <si>
    <t>LAN</t>
  </si>
  <si>
    <t>LAN</t>
    <phoneticPr fontId="54" type="noConversion"/>
  </si>
  <si>
    <t>按键开关</t>
  </si>
  <si>
    <t>按键开关</t>
    <phoneticPr fontId="54" type="noConversion"/>
  </si>
  <si>
    <t>电位器</t>
  </si>
  <si>
    <t>电位器</t>
    <phoneticPr fontId="54" type="noConversion"/>
  </si>
  <si>
    <t>编码器</t>
  </si>
  <si>
    <t>编码器</t>
    <phoneticPr fontId="54" type="noConversion"/>
  </si>
  <si>
    <t>触控屏</t>
  </si>
  <si>
    <t>触控屏</t>
    <phoneticPr fontId="54" type="noConversion"/>
  </si>
  <si>
    <t>踏板</t>
  </si>
  <si>
    <t>踏板</t>
    <phoneticPr fontId="54" type="noConversion"/>
  </si>
  <si>
    <t>导光束→产品</t>
    <phoneticPr fontId="54" type="noConversion"/>
  </si>
  <si>
    <t>产品→导光束→产品</t>
    <phoneticPr fontId="54" type="noConversion"/>
  </si>
  <si>
    <t>产品→导光束</t>
    <phoneticPr fontId="54" type="noConversion"/>
  </si>
  <si>
    <t>激活条件</t>
    <phoneticPr fontId="54" type="noConversion"/>
  </si>
  <si>
    <t>选项输出值</t>
    <phoneticPr fontId="54" type="noConversion"/>
  </si>
  <si>
    <t>硬件</t>
    <phoneticPr fontId="54" type="noConversion"/>
  </si>
  <si>
    <t>软件</t>
    <phoneticPr fontId="54" type="noConversion"/>
  </si>
  <si>
    <t>结构</t>
    <phoneticPr fontId="54" type="noConversion"/>
  </si>
  <si>
    <t>光学</t>
    <phoneticPr fontId="54" type="noConversion"/>
  </si>
  <si>
    <t>直流输入</t>
    <phoneticPr fontId="54" type="noConversion"/>
  </si>
  <si>
    <t>交流输入</t>
    <phoneticPr fontId="54" type="noConversion"/>
  </si>
  <si>
    <t>分拆同箱</t>
    <phoneticPr fontId="54" type="noConversion"/>
  </si>
  <si>
    <t>分箱包装</t>
    <phoneticPr fontId="54" type="noConversion"/>
  </si>
  <si>
    <t>一体包装</t>
    <phoneticPr fontId="54" type="noConversion"/>
  </si>
  <si>
    <t>产品是否需要输出白光</t>
    <phoneticPr fontId="54" type="noConversion"/>
  </si>
  <si>
    <t>相关色温CCT</t>
    <phoneticPr fontId="54" type="noConversion"/>
  </si>
  <si>
    <t>光通量</t>
    <phoneticPr fontId="54" type="noConversion"/>
  </si>
  <si>
    <t>光功率</t>
    <phoneticPr fontId="54" type="noConversion"/>
  </si>
  <si>
    <t>CRI显指Ra</t>
    <phoneticPr fontId="54" type="noConversion"/>
  </si>
  <si>
    <t>CRI显指R9</t>
    <phoneticPr fontId="54" type="noConversion"/>
  </si>
  <si>
    <t>CCT</t>
    <phoneticPr fontId="54" type="noConversion"/>
  </si>
  <si>
    <t>Ra</t>
    <phoneticPr fontId="54" type="noConversion"/>
  </si>
  <si>
    <t>R9</t>
    <phoneticPr fontId="54" type="noConversion"/>
  </si>
  <si>
    <t>色坐标CIExy</t>
    <phoneticPr fontId="54" type="noConversion"/>
  </si>
  <si>
    <t>CIExy</t>
    <phoneticPr fontId="54" type="noConversion"/>
  </si>
  <si>
    <t>产品是否需要输出单色光</t>
    <phoneticPr fontId="54" type="noConversion"/>
  </si>
  <si>
    <t>白光</t>
    <phoneticPr fontId="54" type="noConversion"/>
  </si>
  <si>
    <t>单色光</t>
    <phoneticPr fontId="54" type="noConversion"/>
  </si>
  <si>
    <t>下列哪些单色光参数客户进行限制</t>
    <phoneticPr fontId="54" type="noConversion"/>
  </si>
  <si>
    <t>峰值波长</t>
    <phoneticPr fontId="54" type="noConversion"/>
  </si>
  <si>
    <t>主波长</t>
    <phoneticPr fontId="54" type="noConversion"/>
  </si>
  <si>
    <t>半峰全宽</t>
    <phoneticPr fontId="54" type="noConversion"/>
  </si>
  <si>
    <t>主波长（可见光范围适用）</t>
    <phoneticPr fontId="54" type="noConversion"/>
  </si>
  <si>
    <t>红绿辐通量比</t>
    <phoneticPr fontId="54" type="noConversion"/>
  </si>
  <si>
    <t>蓝绿辐通量比</t>
    <phoneticPr fontId="54" type="noConversion"/>
  </si>
  <si>
    <t>红外截止性能</t>
    <phoneticPr fontId="54" type="noConversion"/>
  </si>
  <si>
    <t>光照均匀性</t>
    <phoneticPr fontId="54" type="noConversion"/>
  </si>
  <si>
    <t>照度超限点</t>
    <phoneticPr fontId="54" type="noConversion"/>
  </si>
  <si>
    <t>照度</t>
    <phoneticPr fontId="54" type="noConversion"/>
  </si>
  <si>
    <t>辐照度</t>
    <phoneticPr fontId="54" type="noConversion"/>
  </si>
  <si>
    <t>光斑尺寸</t>
    <phoneticPr fontId="54" type="noConversion"/>
  </si>
  <si>
    <t>光强</t>
    <phoneticPr fontId="54" type="noConversion"/>
  </si>
  <si>
    <t>光束全角</t>
    <phoneticPr fontId="54" type="noConversion"/>
  </si>
  <si>
    <t>视场全角</t>
    <phoneticPr fontId="54" type="noConversion"/>
  </si>
  <si>
    <t>辐射强度</t>
    <phoneticPr fontId="54" type="noConversion"/>
  </si>
  <si>
    <t>钥匙开关</t>
    <phoneticPr fontId="54" type="noConversion"/>
  </si>
  <si>
    <t>急停开关</t>
    <phoneticPr fontId="54" type="noConversion"/>
  </si>
  <si>
    <t>LED指示灯</t>
    <phoneticPr fontId="54" type="noConversion"/>
  </si>
  <si>
    <t>数码管</t>
    <phoneticPr fontId="54" type="noConversion"/>
  </si>
  <si>
    <t>显示屏</t>
    <phoneticPr fontId="54" type="noConversion"/>
  </si>
  <si>
    <t>EMC</t>
    <phoneticPr fontId="54" type="noConversion"/>
  </si>
  <si>
    <t>RoHS</t>
    <phoneticPr fontId="54" type="noConversion"/>
  </si>
  <si>
    <t>激光安全</t>
    <phoneticPr fontId="54" type="noConversion"/>
  </si>
  <si>
    <t>光生物安全</t>
    <phoneticPr fontId="54" type="noConversion"/>
  </si>
  <si>
    <t>不要求</t>
    <phoneticPr fontId="54" type="noConversion"/>
  </si>
  <si>
    <t>是否要求产品具备频闪功能</t>
    <phoneticPr fontId="54" type="noConversion"/>
  </si>
  <si>
    <t>是否指定产品调光范围或步距</t>
    <phoneticPr fontId="54" type="noConversion"/>
  </si>
  <si>
    <t>是否指定产品调速风扇的工作逻辑</t>
    <phoneticPr fontId="54" type="noConversion"/>
  </si>
  <si>
    <t>是否指定产品必须使用调速风扇</t>
    <phoneticPr fontId="54" type="noConversion"/>
  </si>
  <si>
    <t>是否要求产品具备定期校正功能</t>
    <phoneticPr fontId="54" type="noConversion"/>
  </si>
  <si>
    <t>是否要求产品具备闭环反馈控制功能</t>
    <phoneticPr fontId="54" type="noConversion"/>
  </si>
  <si>
    <t>以下哪些认证/测试客户要求提供</t>
    <phoneticPr fontId="54" type="noConversion"/>
  </si>
  <si>
    <t>是否限制驱动控制板外形尺寸与安装孔位</t>
    <phoneticPr fontId="54" type="noConversion"/>
  </si>
  <si>
    <t>是否限制产品重量</t>
    <phoneticPr fontId="54" type="noConversion"/>
  </si>
  <si>
    <t>是否指定产品外观颜色</t>
    <phoneticPr fontId="54" type="noConversion"/>
  </si>
  <si>
    <t>是否限制产品出线位置</t>
    <phoneticPr fontId="54" type="noConversion"/>
  </si>
  <si>
    <t>是否限制产品外形尺寸或安装孔位</t>
    <phoneticPr fontId="54" type="noConversion"/>
  </si>
  <si>
    <t>是否限定产品外表面或器件的温升/温度</t>
    <phoneticPr fontId="54" type="noConversion"/>
  </si>
  <si>
    <t>是否限定产品工作时的噪声</t>
    <phoneticPr fontId="54" type="noConversion"/>
  </si>
  <si>
    <t>是否限定产品工作环境相对湿度</t>
    <phoneticPr fontId="54" type="noConversion"/>
  </si>
  <si>
    <t>是否限定产品工作环境温度</t>
    <phoneticPr fontId="54" type="noConversion"/>
  </si>
  <si>
    <t>是否指定转接座拉力测试合格标准</t>
    <phoneticPr fontId="54" type="noConversion"/>
  </si>
  <si>
    <t>是否指定产品超温报警温度与保护逻辑</t>
    <phoneticPr fontId="54" type="noConversion"/>
  </si>
  <si>
    <t>光斑均匀性</t>
    <phoneticPr fontId="54" type="noConversion"/>
  </si>
  <si>
    <t>下列哪些内窥镜冷光源特有光参数客户进行限制</t>
    <phoneticPr fontId="54" type="noConversion"/>
  </si>
  <si>
    <t>产品需要多少个单色光输出</t>
    <phoneticPr fontId="54" type="noConversion"/>
  </si>
  <si>
    <t>需求项提示</t>
    <phoneticPr fontId="54" type="noConversion"/>
  </si>
  <si>
    <t>输入是否要求范围</t>
    <phoneticPr fontId="54" type="noConversion"/>
  </si>
  <si>
    <t>TRUE</t>
    <phoneticPr fontId="54" type="noConversion"/>
  </si>
  <si>
    <t>输入项名称依据</t>
    <phoneticPr fontId="54" type="noConversion"/>
  </si>
  <si>
    <t>输入项数量依据</t>
    <phoneticPr fontId="54" type="noConversion"/>
  </si>
  <si>
    <t>正整数</t>
    <phoneticPr fontId="54" type="noConversion"/>
  </si>
  <si>
    <t>字典</t>
    <phoneticPr fontId="54" type="noConversion"/>
  </si>
  <si>
    <t>机械悬臂检测</t>
    <phoneticPr fontId="54" type="noConversion"/>
  </si>
  <si>
    <t>接近开关检测</t>
    <phoneticPr fontId="54" type="noConversion"/>
  </si>
  <si>
    <t>LED指示灯</t>
  </si>
  <si>
    <t>数码管</t>
  </si>
  <si>
    <t>FALSE</t>
    <phoneticPr fontId="54" type="noConversion"/>
  </si>
  <si>
    <t>产品要求哪些状态显示方式</t>
    <phoneticPr fontId="54" type="noConversion"/>
  </si>
  <si>
    <t>请选择直流输入电压</t>
    <phoneticPr fontId="54" type="noConversion"/>
  </si>
  <si>
    <t>DC12V</t>
    <phoneticPr fontId="54" type="noConversion"/>
  </si>
  <si>
    <t>DC24V</t>
    <phoneticPr fontId="54" type="noConversion"/>
  </si>
  <si>
    <t>AC90~264V</t>
    <phoneticPr fontId="54" type="noConversion"/>
  </si>
  <si>
    <t>90~264V</t>
    <phoneticPr fontId="54" type="noConversion"/>
  </si>
  <si>
    <t>DC36V</t>
    <phoneticPr fontId="54" type="noConversion"/>
  </si>
  <si>
    <t>DC48V</t>
    <phoneticPr fontId="54" type="noConversion"/>
  </si>
  <si>
    <t>客户成像端是否有摄像系统参与</t>
    <phoneticPr fontId="54" type="noConversion"/>
  </si>
  <si>
    <t>单行文本</t>
  </si>
  <si>
    <t>多行文本</t>
    <phoneticPr fontId="54" type="noConversion"/>
  </si>
  <si>
    <t>单行文本</t>
    <phoneticPr fontId="54" type="noConversion"/>
  </si>
  <si>
    <t>正负</t>
    <phoneticPr fontId="54" type="noConversion"/>
  </si>
  <si>
    <t>下限</t>
    <phoneticPr fontId="54" type="noConversion"/>
  </si>
  <si>
    <t>范围</t>
    <phoneticPr fontId="54" type="noConversion"/>
  </si>
  <si>
    <t>上限</t>
    <phoneticPr fontId="54" type="noConversion"/>
  </si>
  <si>
    <t>产品是作为局部模组集成到客户产品上，还是以成品机箱形式供用户直接使用？</t>
    <phoneticPr fontId="54" type="noConversion"/>
  </si>
  <si>
    <t>DC</t>
    <phoneticPr fontId="54" type="noConversion"/>
  </si>
  <si>
    <t>CDC</t>
    <phoneticPr fontId="54" type="noConversion"/>
  </si>
  <si>
    <t>CD</t>
    <phoneticPr fontId="54" type="noConversion"/>
  </si>
  <si>
    <t>导光束→产品→导光束</t>
    <phoneticPr fontId="54" type="noConversion"/>
  </si>
  <si>
    <t>产品→导光束→产品→导光束</t>
    <phoneticPr fontId="54" type="noConversion"/>
  </si>
  <si>
    <t>DCD</t>
    <phoneticPr fontId="54" type="noConversion"/>
  </si>
  <si>
    <t>CDCD</t>
    <phoneticPr fontId="54" type="noConversion"/>
  </si>
  <si>
    <t>文件引用配置</t>
    <phoneticPr fontId="54" type="noConversion"/>
  </si>
  <si>
    <t>我司默认的拉力合格标准为：11~15N，如果客户需要指定合格标准，请选“是”。</t>
    <phoneticPr fontId="54" type="noConversion"/>
  </si>
  <si>
    <t>普通无检测</t>
    <phoneticPr fontId="54" type="noConversion"/>
  </si>
  <si>
    <t>有特殊逻辑</t>
    <phoneticPr fontId="54" type="noConversion"/>
  </si>
  <si>
    <t>导光束插拔影响所有光源</t>
    <phoneticPr fontId="54" type="noConversion"/>
  </si>
  <si>
    <t>产品需要多少个单色光输出。</t>
    <phoneticPr fontId="54" type="noConversion"/>
  </si>
  <si>
    <t>产品是否需要输出白光，不管是荧光白光，还是RGB合白光，均属于白光。</t>
    <phoneticPr fontId="54" type="noConversion"/>
  </si>
  <si>
    <t>亮度</t>
    <phoneticPr fontId="54" type="noConversion"/>
  </si>
  <si>
    <t>多行文本</t>
    <phoneticPr fontId="54" type="noConversion"/>
  </si>
  <si>
    <t>请仔细询问下列光参数里，哪些是客户关注并在入厂检时会检测的。</t>
    <phoneticPr fontId="54" type="noConversion"/>
  </si>
  <si>
    <t>请仔细询问下列YY1081-2011标准特有光参数，哪些是客户关注并在入厂检时会检测的。</t>
    <phoneticPr fontId="54" type="noConversion"/>
  </si>
  <si>
    <t>多选</t>
    <phoneticPr fontId="54" type="noConversion"/>
  </si>
  <si>
    <t>FALSE</t>
    <phoneticPr fontId="54" type="noConversion"/>
  </si>
  <si>
    <t>光通量</t>
    <phoneticPr fontId="54" type="noConversion"/>
  </si>
  <si>
    <t>相对色温CCT</t>
    <phoneticPr fontId="54" type="noConversion"/>
  </si>
  <si>
    <t>CRI显指Ra</t>
    <phoneticPr fontId="54" type="noConversion"/>
  </si>
  <si>
    <t>50%光通量</t>
    <phoneticPr fontId="54" type="noConversion"/>
  </si>
  <si>
    <t>50%CCT</t>
    <phoneticPr fontId="54" type="noConversion"/>
  </si>
  <si>
    <t>50%Ra</t>
    <phoneticPr fontId="54" type="noConversion"/>
  </si>
  <si>
    <t>50%红绿比</t>
    <phoneticPr fontId="54" type="noConversion"/>
  </si>
  <si>
    <t>50%蓝绿比</t>
    <phoneticPr fontId="54" type="noConversion"/>
  </si>
  <si>
    <t>是否限定产品IP防护等级</t>
    <phoneticPr fontId="54" type="noConversion"/>
  </si>
  <si>
    <t>是否限制产品出光口位置</t>
    <phoneticPr fontId="54" type="noConversion"/>
  </si>
  <si>
    <t>请说明指定的外观颜色，颜色需客户提供色号或色样，并限定色差范围。</t>
    <phoneticPr fontId="54" type="noConversion"/>
  </si>
  <si>
    <t>是否指定产品表面工艺</t>
    <phoneticPr fontId="54" type="noConversion"/>
  </si>
  <si>
    <t>是否指定产品表面处理工艺，特别是要求表面导电氧化。</t>
    <phoneticPr fontId="54" type="noConversion"/>
  </si>
  <si>
    <t>是否指定产品使用的风扇类型、规格、数量、线长等规格参数?</t>
    <phoneticPr fontId="54" type="noConversion"/>
  </si>
  <si>
    <t>是否限定产品散热器类型与尺寸</t>
    <phoneticPr fontId="54" type="noConversion"/>
  </si>
  <si>
    <t>填写客户指定的风扇规格要求、数量等。</t>
    <phoneticPr fontId="54" type="noConversion"/>
  </si>
  <si>
    <t>填写客户指定的散热器类别与尺寸要求、数量等。</t>
    <phoneticPr fontId="54" type="noConversion"/>
  </si>
  <si>
    <t>选择产品电源输入类型，模组一般用直流，成品机箱一般用交流。</t>
    <phoneticPr fontId="54" type="noConversion"/>
  </si>
  <si>
    <t>选择直流输入电压，这个需要跟客户配合确认。</t>
    <phoneticPr fontId="54" type="noConversion"/>
  </si>
  <si>
    <t>请确认交流输入电压</t>
    <phoneticPr fontId="54" type="noConversion"/>
  </si>
  <si>
    <t>90~264V宽电压范围基本可以覆各国要求</t>
    <phoneticPr fontId="54" type="noConversion"/>
  </si>
  <si>
    <t>是否限制产品整体功耗</t>
    <phoneticPr fontId="54" type="noConversion"/>
  </si>
  <si>
    <t>填写具体接口规格要求。</t>
    <phoneticPr fontId="54" type="noConversion"/>
  </si>
  <si>
    <t>选择产品控制模式。</t>
    <phoneticPr fontId="54" type="noConversion"/>
  </si>
  <si>
    <t>是否要求产品使用某些器件来显示功能状态，例如：指示灯、显示屏等等。</t>
    <phoneticPr fontId="54" type="noConversion"/>
  </si>
  <si>
    <t>是否要求产品具备定期校正光参数的功能。</t>
    <phoneticPr fontId="54" type="noConversion"/>
  </si>
  <si>
    <t>是否要求产品具备使用传感器实现闭环反馈控制的功能。</t>
    <phoneticPr fontId="54" type="noConversion"/>
  </si>
  <si>
    <t>填写具体闭环反馈控制功能逻辑要求。</t>
    <phoneticPr fontId="54" type="noConversion"/>
  </si>
  <si>
    <t>是否指定产品调光范围与调光步距。</t>
    <phoneticPr fontId="54" type="noConversion"/>
  </si>
  <si>
    <t>填写具体频闪/脉冲输出的技术要求。</t>
    <phoneticPr fontId="54" type="noConversion"/>
  </si>
  <si>
    <t>是否指定调速风扇的工作逻辑，即调速逻辑？</t>
    <phoneticPr fontId="54" type="noConversion"/>
  </si>
  <si>
    <t>填写具体调速风扇的调速逻辑。</t>
    <phoneticPr fontId="54" type="noConversion"/>
  </si>
  <si>
    <t>填写详细的超温报警保护温度与保护逻辑。</t>
    <phoneticPr fontId="54" type="noConversion"/>
  </si>
  <si>
    <t>转接座材料及表面工艺要求</t>
    <phoneticPr fontId="54" type="noConversion"/>
  </si>
  <si>
    <t>转接座形状尺寸要求</t>
    <phoneticPr fontId="54" type="noConversion"/>
  </si>
  <si>
    <t>客户要求的转接座拉力测试合格标准</t>
    <phoneticPr fontId="54" type="noConversion"/>
  </si>
  <si>
    <t>峰值波长要求</t>
    <phoneticPr fontId="54" type="noConversion"/>
  </si>
  <si>
    <t>主波长要求</t>
    <phoneticPr fontId="54" type="noConversion"/>
  </si>
  <si>
    <t>半峰全宽要求</t>
    <phoneticPr fontId="54" type="noConversion"/>
  </si>
  <si>
    <t>光通量要求</t>
    <phoneticPr fontId="54" type="noConversion"/>
  </si>
  <si>
    <t>光功率要求</t>
    <phoneticPr fontId="54" type="noConversion"/>
  </si>
  <si>
    <t>照度要求</t>
    <phoneticPr fontId="54" type="noConversion"/>
  </si>
  <si>
    <t>辐照度要求</t>
    <phoneticPr fontId="54" type="noConversion"/>
  </si>
  <si>
    <t>光斑尺寸要求</t>
    <phoneticPr fontId="54" type="noConversion"/>
  </si>
  <si>
    <t>光斑均匀性要求</t>
    <phoneticPr fontId="54" type="noConversion"/>
  </si>
  <si>
    <t>光强要求</t>
    <phoneticPr fontId="54" type="noConversion"/>
  </si>
  <si>
    <t>辐射强度要求</t>
    <phoneticPr fontId="54" type="noConversion"/>
  </si>
  <si>
    <t>亮度要求</t>
    <phoneticPr fontId="54" type="noConversion"/>
  </si>
  <si>
    <t>光束全角要求</t>
    <phoneticPr fontId="54" type="noConversion"/>
  </si>
  <si>
    <t>视场全角要求</t>
    <phoneticPr fontId="54" type="noConversion"/>
  </si>
  <si>
    <t>相关色温CCT要求</t>
    <phoneticPr fontId="54" type="noConversion"/>
  </si>
  <si>
    <t>CRI显指Ra要求</t>
    <phoneticPr fontId="54" type="noConversion"/>
  </si>
  <si>
    <t>CRI显指R9要求</t>
    <phoneticPr fontId="54" type="noConversion"/>
  </si>
  <si>
    <t>色坐标CIExy要求</t>
    <phoneticPr fontId="54" type="noConversion"/>
  </si>
  <si>
    <t>色坐标CIEuv</t>
    <phoneticPr fontId="54" type="noConversion"/>
  </si>
  <si>
    <t>CIEuv</t>
    <phoneticPr fontId="54" type="noConversion"/>
  </si>
  <si>
    <t>色坐标CIEuv要求</t>
    <phoneticPr fontId="54" type="noConversion"/>
  </si>
  <si>
    <t>红绿辐通量比要求</t>
    <phoneticPr fontId="54" type="noConversion"/>
  </si>
  <si>
    <t>蓝绿辐通量比要求</t>
    <phoneticPr fontId="54" type="noConversion"/>
  </si>
  <si>
    <t>红外截止性能要求</t>
    <phoneticPr fontId="54" type="noConversion"/>
  </si>
  <si>
    <t>光照均匀性要求</t>
    <phoneticPr fontId="54" type="noConversion"/>
  </si>
  <si>
    <t>照度超限点要求</t>
    <phoneticPr fontId="54" type="noConversion"/>
  </si>
  <si>
    <t>产品工作环境温度要求</t>
    <phoneticPr fontId="54" type="noConversion"/>
  </si>
  <si>
    <t>产品工作环境相对湿度要求</t>
    <phoneticPr fontId="54" type="noConversion"/>
  </si>
  <si>
    <t>产品工作时噪声的限定要求</t>
    <phoneticPr fontId="54" type="noConversion"/>
  </si>
  <si>
    <t>产品外表面温升/温度要求</t>
    <phoneticPr fontId="54" type="noConversion"/>
  </si>
  <si>
    <t>IP防护等级要求</t>
    <phoneticPr fontId="54" type="noConversion"/>
  </si>
  <si>
    <t>产品外观颜色要求</t>
    <phoneticPr fontId="54" type="noConversion"/>
  </si>
  <si>
    <t>产品表面工艺要求</t>
    <phoneticPr fontId="54" type="noConversion"/>
  </si>
  <si>
    <t>产品重量要求</t>
    <phoneticPr fontId="54" type="noConversion"/>
  </si>
  <si>
    <t>具体的散热器技术要求</t>
    <phoneticPr fontId="54" type="noConversion"/>
  </si>
  <si>
    <t>产品功耗要求</t>
    <phoneticPr fontId="54" type="noConversion"/>
  </si>
  <si>
    <t>客户对定期校正功能的要求</t>
    <phoneticPr fontId="54" type="noConversion"/>
  </si>
  <si>
    <t>客户对闭环反馈控制功能的要求</t>
    <phoneticPr fontId="54" type="noConversion"/>
  </si>
  <si>
    <t>具体的调光范围要求</t>
    <phoneticPr fontId="54" type="noConversion"/>
  </si>
  <si>
    <t>具体的调光步距要求</t>
    <phoneticPr fontId="54" type="noConversion"/>
  </si>
  <si>
    <t>具体的频闪技术要求</t>
    <phoneticPr fontId="54" type="noConversion"/>
  </si>
  <si>
    <t>具体的调速风扇工作逻辑要求</t>
    <phoneticPr fontId="54" type="noConversion"/>
  </si>
  <si>
    <t>具体的超温报警温度与保护逻辑要求</t>
    <phoneticPr fontId="54" type="noConversion"/>
  </si>
  <si>
    <t>节点序号</t>
    <phoneticPr fontId="54" type="noConversion"/>
  </si>
  <si>
    <t>自动统计</t>
    <phoneticPr fontId="54" type="noConversion"/>
  </si>
  <si>
    <t>手动记录历史最大值（防止误删而自动统计没暴露）</t>
    <phoneticPr fontId="54" type="noConversion"/>
  </si>
  <si>
    <t>固定唯一码</t>
    <phoneticPr fontId="54" type="noConversion"/>
  </si>
  <si>
    <t>涉及</t>
    <phoneticPr fontId="54" type="noConversion"/>
  </si>
  <si>
    <t>不涉及</t>
    <phoneticPr fontId="54" type="noConversion"/>
  </si>
  <si>
    <t>None</t>
    <phoneticPr fontId="54" type="noConversion"/>
  </si>
  <si>
    <t>是否指定或提供导光束做出厂光参数测试</t>
    <phoneticPr fontId="54" type="noConversion"/>
  </si>
  <si>
    <t>指定或提供的导光束检测哪些光参数</t>
    <phoneticPr fontId="54" type="noConversion"/>
  </si>
  <si>
    <t>转接座旋帽不点胶</t>
    <phoneticPr fontId="54" type="noConversion"/>
  </si>
  <si>
    <t>是否提供导光束做转接座拉力出厂测试</t>
    <phoneticPr fontId="54" type="noConversion"/>
  </si>
  <si>
    <t>与产品主体“装一起”包装</t>
    <phoneticPr fontId="54" type="noConversion"/>
  </si>
  <si>
    <t>与产品主体“分拆”装同箱</t>
    <phoneticPr fontId="54" type="noConversion"/>
  </si>
  <si>
    <t>与产品主体“分箱”包装</t>
    <phoneticPr fontId="54" type="noConversion"/>
  </si>
  <si>
    <t>悬臂检测</t>
    <phoneticPr fontId="54" type="noConversion"/>
  </si>
  <si>
    <t>接近开关检测</t>
    <phoneticPr fontId="54" type="noConversion"/>
  </si>
  <si>
    <t>分拆装同箱</t>
    <phoneticPr fontId="54" type="noConversion"/>
  </si>
  <si>
    <t>装一起包装</t>
    <phoneticPr fontId="54" type="noConversion"/>
  </si>
  <si>
    <t>分箱包装</t>
    <phoneticPr fontId="54" type="noConversion"/>
  </si>
  <si>
    <t>普通无检测</t>
    <phoneticPr fontId="54" type="noConversion"/>
  </si>
  <si>
    <t>导光束插拔影响的光源与处理逻辑</t>
    <phoneticPr fontId="54" type="noConversion"/>
  </si>
  <si>
    <t>导光束插拔处理逻辑</t>
    <phoneticPr fontId="54" type="noConversion"/>
  </si>
  <si>
    <t>下列哪些白光或混合光参数客户进行限制</t>
    <phoneticPr fontId="54" type="noConversion"/>
  </si>
  <si>
    <t>光谱峰值比</t>
    <phoneticPr fontId="54" type="noConversion"/>
  </si>
  <si>
    <t>光谱峰值比要求</t>
    <phoneticPr fontId="54" type="noConversion"/>
  </si>
  <si>
    <t>产品是否需要输出特定混合光</t>
    <phoneticPr fontId="54" type="noConversion"/>
  </si>
  <si>
    <t>请给各输出白光或特定混合光取名</t>
    <phoneticPr fontId="54" type="noConversion"/>
  </si>
  <si>
    <t>请给各输出单色光取名</t>
    <phoneticPr fontId="54" type="noConversion"/>
  </si>
  <si>
    <t>特定混合光</t>
    <phoneticPr fontId="54" type="noConversion"/>
  </si>
  <si>
    <t>如果属于内窥镜冷光源，则需要考虑行业标准YY1081-2011的一些合规性技术要求。</t>
    <phoneticPr fontId="54" type="noConversion"/>
  </si>
  <si>
    <t>产品以{V}形态交付</t>
  </si>
  <si>
    <t>由{V}，共{N}个功能模块组成</t>
  </si>
  <si>
    <t>转接座材料及表面工艺要求：{V}</t>
  </si>
  <si>
    <t>转接座外形尺寸要求：{V}</t>
  </si>
  <si>
    <t>转接座与主体{V}</t>
  </si>
  <si>
    <t>转接座选用{V}类</t>
  </si>
  <si>
    <t>插拔处理逻辑要求：{V}</t>
  </si>
  <si>
    <t>共要求{V}个单色光输出</t>
  </si>
  <si>
    <t>共要求{V}个白光或混合光输出</t>
  </si>
  <si>
    <t>R9</t>
    <phoneticPr fontId="54" type="noConversion"/>
  </si>
  <si>
    <t>产品工作环境相对湿度：{V}~{T}</t>
    <phoneticPr fontId="54" type="noConversion"/>
  </si>
  <si>
    <t>产品工作噪声上限：{V}</t>
    <phoneticPr fontId="54" type="noConversion"/>
  </si>
  <si>
    <t>产品IP防护等级要求：{V}</t>
    <phoneticPr fontId="54" type="noConversion"/>
  </si>
  <si>
    <t>产品外观颜色要求：{V}</t>
    <phoneticPr fontId="54" type="noConversion"/>
  </si>
  <si>
    <t>产品表面工艺要求：{V}</t>
    <phoneticPr fontId="54" type="noConversion"/>
  </si>
  <si>
    <t>产品重量上限：{V}</t>
    <phoneticPr fontId="54" type="noConversion"/>
  </si>
  <si>
    <t>是否指定产品风扇类型、规格、数量、线长、连接器</t>
    <phoneticPr fontId="54" type="noConversion"/>
  </si>
  <si>
    <t>具体风扇规格、数量、线长、连接器要求</t>
    <phoneticPr fontId="54" type="noConversion"/>
  </si>
  <si>
    <t>产品选型、数量、线长、连接器要求：{V}</t>
    <phoneticPr fontId="54" type="noConversion"/>
  </si>
  <si>
    <t>产品散热器要求：{V}</t>
    <phoneticPr fontId="54" type="noConversion"/>
  </si>
  <si>
    <t>直流输入电压：{V}</t>
    <phoneticPr fontId="54" type="noConversion"/>
  </si>
  <si>
    <t>12V</t>
    <phoneticPr fontId="54" type="noConversion"/>
  </si>
  <si>
    <t>24V</t>
    <phoneticPr fontId="54" type="noConversion"/>
  </si>
  <si>
    <t>36V</t>
    <phoneticPr fontId="54" type="noConversion"/>
  </si>
  <si>
    <t>48V</t>
    <phoneticPr fontId="54" type="noConversion"/>
  </si>
  <si>
    <t>交流输入电压：{V}</t>
    <phoneticPr fontId="54" type="noConversion"/>
  </si>
  <si>
    <t>驱动板采用模拟输出方案，客户是否接受</t>
    <phoneticPr fontId="54" type="noConversion"/>
  </si>
  <si>
    <t>驱动板采用PWM输出方案，客户是否接受</t>
    <phoneticPr fontId="54" type="noConversion"/>
  </si>
  <si>
    <t>产品功耗上限：{V}</t>
    <phoneticPr fontId="54" type="noConversion"/>
  </si>
  <si>
    <t>是否指定产品/驱动板接口类型或规格</t>
    <phoneticPr fontId="54" type="noConversion"/>
  </si>
  <si>
    <t>产品/驱动板接口要求</t>
    <phoneticPr fontId="54" type="noConversion"/>
  </si>
  <si>
    <t>产品/驱动板接口要求：{V}</t>
    <phoneticPr fontId="54" type="noConversion"/>
  </si>
  <si>
    <t>产品采用{V}控制模式</t>
    <phoneticPr fontId="54" type="noConversion"/>
  </si>
  <si>
    <t>是否要求具备状态显示界面</t>
    <phoneticPr fontId="54" type="noConversion"/>
  </si>
  <si>
    <t>定期校正功能要求：{V}</t>
    <phoneticPr fontId="54" type="noConversion"/>
  </si>
  <si>
    <t>闭环反馈控制要求：{V}</t>
    <phoneticPr fontId="54" type="noConversion"/>
  </si>
  <si>
    <t>证书要求：{V}</t>
    <phoneticPr fontId="54" type="noConversion"/>
  </si>
  <si>
    <t>要求调光范围：{V}</t>
    <phoneticPr fontId="54" type="noConversion"/>
  </si>
  <si>
    <t>要求调光步距：{V}</t>
    <phoneticPr fontId="54" type="noConversion"/>
  </si>
  <si>
    <t>频闪技术要求：{V}</t>
    <phoneticPr fontId="54" type="noConversion"/>
  </si>
  <si>
    <t>调速风扇工作逻辑要求：{V}</t>
    <phoneticPr fontId="54" type="noConversion"/>
  </si>
  <si>
    <t>超温报警温度与保护逻辑：{V}</t>
    <phoneticPr fontId="54" type="noConversion"/>
  </si>
  <si>
    <t>请提供剩余产品结构补充需求</t>
    <phoneticPr fontId="54" type="noConversion"/>
  </si>
  <si>
    <t>请提供剩余产品硬件补充需求</t>
    <phoneticPr fontId="54" type="noConversion"/>
  </si>
  <si>
    <t>请提供剩余产品软件补充需求</t>
    <phoneticPr fontId="54" type="noConversion"/>
  </si>
  <si>
    <t>最后请提供剩余产品工艺补充需求</t>
    <phoneticPr fontId="54" type="noConversion"/>
  </si>
  <si>
    <t>补充结构要求：{V}</t>
    <phoneticPr fontId="54" type="noConversion"/>
  </si>
  <si>
    <t>补充硬件要求：{V}</t>
    <phoneticPr fontId="54" type="noConversion"/>
  </si>
  <si>
    <t>补充软件要求：{V}</t>
    <phoneticPr fontId="54" type="noConversion"/>
  </si>
  <si>
    <t>补充工艺要求：{V}</t>
    <phoneticPr fontId="54" type="noConversion"/>
  </si>
  <si>
    <t>无导光束</t>
    <phoneticPr fontId="54" type="noConversion"/>
  </si>
  <si>
    <t>接近开关</t>
    <phoneticPr fontId="54" type="noConversion"/>
  </si>
  <si>
    <t>悬臂</t>
    <phoneticPr fontId="54" type="noConversion"/>
  </si>
  <si>
    <t>普通</t>
    <phoneticPr fontId="54" type="noConversion"/>
  </si>
  <si>
    <t>选项展示组</t>
    <phoneticPr fontId="54" type="noConversion"/>
  </si>
  <si>
    <t>1</t>
    <phoneticPr fontId="54" type="noConversion"/>
  </si>
  <si>
    <t>全员</t>
    <phoneticPr fontId="54" type="noConversion"/>
  </si>
  <si>
    <t>选项查阅整理要求</t>
    <phoneticPr fontId="54" type="noConversion"/>
  </si>
  <si>
    <t>光学+硬件+软件</t>
    <phoneticPr fontId="54" type="noConversion"/>
  </si>
  <si>
    <t>光学+硬件+软件+工艺</t>
    <phoneticPr fontId="54" type="noConversion"/>
  </si>
  <si>
    <t>结构+工艺+质量</t>
    <phoneticPr fontId="54" type="noConversion"/>
  </si>
  <si>
    <t>光学+工艺+质量</t>
    <phoneticPr fontId="54" type="noConversion"/>
  </si>
  <si>
    <t>结构+质量</t>
    <phoneticPr fontId="54" type="noConversion"/>
  </si>
  <si>
    <t>光学+结构+工艺+质量</t>
    <phoneticPr fontId="54" type="noConversion"/>
  </si>
  <si>
    <t>结构+硬件+质量</t>
    <phoneticPr fontId="54" type="noConversion"/>
  </si>
  <si>
    <t>硬件+软件+工艺+质量</t>
    <phoneticPr fontId="54" type="noConversion"/>
  </si>
  <si>
    <t>结构+硬件+工艺+质量</t>
    <phoneticPr fontId="54" type="noConversion"/>
  </si>
  <si>
    <t>结构+硬件+软件+工艺+质量</t>
    <phoneticPr fontId="54" type="noConversion"/>
  </si>
  <si>
    <t>光学+硬件+软件+工艺+质量</t>
    <phoneticPr fontId="54" type="noConversion"/>
  </si>
  <si>
    <t>光学+硬件+软件+质量</t>
    <phoneticPr fontId="54" type="noConversion"/>
  </si>
  <si>
    <t>硬件+工艺+质量</t>
    <phoneticPr fontId="54" type="noConversion"/>
  </si>
  <si>
    <t>软件+工艺+质量</t>
    <phoneticPr fontId="54" type="noConversion"/>
  </si>
  <si>
    <t>工艺+结构+质量</t>
    <phoneticPr fontId="54" type="noConversion"/>
  </si>
  <si>
    <t>光学+结构+硬件+质量</t>
    <phoneticPr fontId="54" type="noConversion"/>
  </si>
  <si>
    <t>光学+结构+质量</t>
    <phoneticPr fontId="54" type="noConversion"/>
  </si>
  <si>
    <t>不限制</t>
    <phoneticPr fontId="54" type="noConversion"/>
  </si>
  <si>
    <t>限制的内窥镜特有光参数：{V}</t>
    <phoneticPr fontId="54" type="noConversion"/>
  </si>
  <si>
    <t>单色光分别为：[{V}]</t>
    <phoneticPr fontId="54" type="noConversion"/>
  </si>
  <si>
    <t>白光或混合光分别为：[{V}]</t>
    <phoneticPr fontId="54" type="noConversion"/>
  </si>
  <si>
    <t>峰值波长要求：[{K}典型值{V}，公差{T}]</t>
  </si>
  <si>
    <t>主波长要求：[{K}典型值{V}，公差{T}]</t>
  </si>
  <si>
    <t>半峰全宽要求：[{K}典型值{V}，公差{T}]</t>
  </si>
  <si>
    <t>光通量要求：[{K}典型值{V}，公差{T}]</t>
  </si>
  <si>
    <t>光功率要求：[{K}典型值{V}，公差{T}]</t>
  </si>
  <si>
    <t>光强要求：[{K}典型值{V}，公差{T}]</t>
  </si>
  <si>
    <t>辐射强度要求：[{K}典型值{V}，公差{T}]</t>
  </si>
  <si>
    <t>光束全角要求：[{K}典型值{V}，公差{T}]</t>
  </si>
  <si>
    <t>视场全角要求：[{K}典型值{V}，公差{T}]</t>
  </si>
  <si>
    <t>相关色温CCT要求：[{K}典型值{V}，公差{T}]</t>
  </si>
  <si>
    <t>光谱峰值比要求：[{K}典型值{V}，公差{T}]</t>
  </si>
  <si>
    <t>红绿辐通量比要求：[{K}典型值{V}，公差{T}]</t>
  </si>
  <si>
    <t>蓝绿辐通量比要求：[{K}典型值{V}，公差{T}]</t>
  </si>
  <si>
    <t>要求的转接座拉力测试合格标准为：典型值{V}，公差{T}</t>
    <phoneticPr fontId="54" type="noConversion"/>
  </si>
  <si>
    <t>色坐标CIExy要求：[{K}{V}]</t>
    <phoneticPr fontId="54" type="noConversion"/>
  </si>
  <si>
    <t>色坐标CIEuv要求：[{K}{V}]</t>
    <phoneticPr fontId="54" type="noConversion"/>
  </si>
  <si>
    <t>选项呈现语句</t>
    <phoneticPr fontId="54" type="noConversion"/>
  </si>
  <si>
    <t>选项重点值</t>
    <phoneticPr fontId="54" type="noConversion"/>
  </si>
  <si>
    <t>导光束→产品→导光束→产品→导光束</t>
    <phoneticPr fontId="54" type="noConversion"/>
  </si>
  <si>
    <t>DCDCD</t>
    <phoneticPr fontId="54" type="noConversion"/>
  </si>
  <si>
    <t>我司</t>
    <phoneticPr fontId="54" type="noConversion"/>
  </si>
  <si>
    <t>客户</t>
    <phoneticPr fontId="54" type="noConversion"/>
  </si>
  <si>
    <t>客户自制</t>
    <phoneticPr fontId="54" type="noConversion"/>
  </si>
  <si>
    <t>{V}导光束做光参数测试</t>
    <phoneticPr fontId="54" type="noConversion"/>
  </si>
  <si>
    <t>{V}转接座材料与表面工艺</t>
    <phoneticPr fontId="54" type="noConversion"/>
  </si>
  <si>
    <t>{V}转接座外形尺寸</t>
    <phoneticPr fontId="54" type="noConversion"/>
  </si>
  <si>
    <t>转接座头部旋帽是否按我司工艺点胶出货</t>
    <phoneticPr fontId="54" type="noConversion"/>
  </si>
  <si>
    <t>不点胶</t>
    <phoneticPr fontId="54" type="noConversion"/>
  </si>
  <si>
    <t>转接座旋帽{V}</t>
    <phoneticPr fontId="54" type="noConversion"/>
  </si>
  <si>
    <t>客供</t>
    <phoneticPr fontId="54" type="noConversion"/>
  </si>
  <si>
    <t>使用{V}导光束做拉力测试</t>
    <phoneticPr fontId="54" type="noConversion"/>
  </si>
  <si>
    <t>转接座拉力测试{V}</t>
    <phoneticPr fontId="54" type="noConversion"/>
  </si>
  <si>
    <t>指定拉力标准</t>
    <phoneticPr fontId="54" type="noConversion"/>
  </si>
  <si>
    <t>插拔使所有光源亮灭</t>
    <phoneticPr fontId="54" type="noConversion"/>
  </si>
  <si>
    <t>使所有光源亮灭</t>
    <phoneticPr fontId="54" type="noConversion"/>
  </si>
  <si>
    <t>产品需输出{V}</t>
    <phoneticPr fontId="54" type="noConversion"/>
  </si>
  <si>
    <t>产品属于{V}，需符合YY1081-2011标准要求</t>
    <phoneticPr fontId="54" type="noConversion"/>
  </si>
  <si>
    <t>内窥镜领域</t>
    <phoneticPr fontId="54" type="noConversion"/>
  </si>
  <si>
    <t>产品工作环境温度{V}</t>
    <phoneticPr fontId="54" type="noConversion"/>
  </si>
  <si>
    <t>不限定</t>
    <phoneticPr fontId="54" type="noConversion"/>
  </si>
  <si>
    <t>产品工作环境相对湿度{V}</t>
    <phoneticPr fontId="54" type="noConversion"/>
  </si>
  <si>
    <t>产品指定工作环境温度：{V}~{T}</t>
    <phoneticPr fontId="54" type="noConversion"/>
  </si>
  <si>
    <t>None</t>
    <phoneticPr fontId="54" type="noConversion"/>
  </si>
  <si>
    <t>产品工作时噪声{V}</t>
    <phoneticPr fontId="54" type="noConversion"/>
  </si>
  <si>
    <t>产品工作时外表面温度或温升{V}</t>
    <phoneticPr fontId="54" type="noConversion"/>
  </si>
  <si>
    <t>产品IP防护等级{V}</t>
    <phoneticPr fontId="54" type="noConversion"/>
  </si>
  <si>
    <t>不限定</t>
    <phoneticPr fontId="54" type="noConversion"/>
  </si>
  <si>
    <t>不指定</t>
    <phoneticPr fontId="54" type="noConversion"/>
  </si>
  <si>
    <t>有限制</t>
    <phoneticPr fontId="54" type="noConversion"/>
  </si>
  <si>
    <t>由我司自行设计</t>
    <phoneticPr fontId="54" type="noConversion"/>
  </si>
  <si>
    <t>对产品外形或安装孔位尺寸{V}</t>
    <phoneticPr fontId="54" type="noConversion"/>
  </si>
  <si>
    <t>产品外形与安装孔位]{V}</t>
    <phoneticPr fontId="54" type="noConversion"/>
  </si>
  <si>
    <t>产品进出风位置{V}</t>
    <phoneticPr fontId="54" type="noConversion"/>
  </si>
  <si>
    <t>产品出线位置{V}</t>
    <phoneticPr fontId="54" type="noConversion"/>
  </si>
  <si>
    <t>产品出光口位置{V}</t>
    <phoneticPr fontId="54" type="noConversion"/>
  </si>
  <si>
    <t>产品外观颜色{V}</t>
    <phoneticPr fontId="54" type="noConversion"/>
  </si>
  <si>
    <t>产品表面工艺{V}</t>
    <phoneticPr fontId="54" type="noConversion"/>
  </si>
  <si>
    <t>产品重量{V}</t>
    <phoneticPr fontId="54" type="noConversion"/>
  </si>
  <si>
    <t>产品必须使用{V}</t>
    <phoneticPr fontId="54" type="noConversion"/>
  </si>
  <si>
    <t>调速风扇</t>
    <phoneticPr fontId="54" type="noConversion"/>
  </si>
  <si>
    <t>产品是否使用调试风扇{V}</t>
    <phoneticPr fontId="54" type="noConversion"/>
  </si>
  <si>
    <t>由我司自行决定</t>
    <phoneticPr fontId="54" type="noConversion"/>
  </si>
  <si>
    <t>自行选型</t>
    <phoneticPr fontId="54" type="noConversion"/>
  </si>
  <si>
    <t>产品风扇由我司{V}</t>
    <phoneticPr fontId="54" type="noConversion"/>
  </si>
  <si>
    <t>产品散热器由我司{V}</t>
    <phoneticPr fontId="54" type="noConversion"/>
  </si>
  <si>
    <t>自行设计</t>
    <phoneticPr fontId="54" type="noConversion"/>
  </si>
  <si>
    <t>产品供电为{V}</t>
    <phoneticPr fontId="54" type="noConversion"/>
  </si>
  <si>
    <t>客户有使用{V}进行成像拍摄</t>
    <phoneticPr fontId="54" type="noConversion"/>
  </si>
  <si>
    <t>摄像系统</t>
    <phoneticPr fontId="54" type="noConversion"/>
  </si>
  <si>
    <t>仅使用{V}进行成像观察</t>
    <phoneticPr fontId="54" type="noConversion"/>
  </si>
  <si>
    <t>人眼</t>
    <phoneticPr fontId="54" type="noConversion"/>
  </si>
  <si>
    <t>接受驱动{V}方案</t>
    <phoneticPr fontId="54" type="noConversion"/>
  </si>
  <si>
    <t>模拟输出</t>
    <phoneticPr fontId="54" type="noConversion"/>
  </si>
  <si>
    <t>{V}驱动模拟输出方案</t>
    <phoneticPr fontId="54" type="noConversion"/>
  </si>
  <si>
    <t>不接受</t>
    <phoneticPr fontId="54" type="noConversion"/>
  </si>
  <si>
    <t>接受{V}方案</t>
    <phoneticPr fontId="54" type="noConversion"/>
  </si>
  <si>
    <t>PWM输出</t>
    <phoneticPr fontId="54" type="noConversion"/>
  </si>
  <si>
    <t>{V}PWM输出方案</t>
    <phoneticPr fontId="54" type="noConversion"/>
  </si>
  <si>
    <t>产品整体功耗{V}</t>
    <phoneticPr fontId="54" type="noConversion"/>
  </si>
  <si>
    <t>无要求</t>
    <phoneticPr fontId="54" type="noConversion"/>
  </si>
  <si>
    <t>驱动板外形或安装孔位尺寸{V}</t>
    <phoneticPr fontId="54" type="noConversion"/>
  </si>
  <si>
    <t>驱动板外形与安装孔位{V}</t>
    <phoneticPr fontId="54" type="noConversion"/>
  </si>
  <si>
    <t>产品接口规格{V}</t>
    <phoneticPr fontId="54" type="noConversion"/>
  </si>
  <si>
    <t>无需提供</t>
    <phoneticPr fontId="54" type="noConversion"/>
  </si>
  <si>
    <t>由我司选型决定</t>
    <phoneticPr fontId="54" type="noConversion"/>
  </si>
  <si>
    <t>产品需具备{V}</t>
    <phoneticPr fontId="54" type="noConversion"/>
  </si>
  <si>
    <t>状态显示界面</t>
    <phoneticPr fontId="54" type="noConversion"/>
  </si>
  <si>
    <t>无需提供</t>
    <phoneticPr fontId="54" type="noConversion"/>
  </si>
  <si>
    <t>随货{V}输入配线</t>
    <phoneticPr fontId="54" type="noConversion"/>
  </si>
  <si>
    <t>产品{V}定期校正功能</t>
    <phoneticPr fontId="54" type="noConversion"/>
  </si>
  <si>
    <t>需要具备</t>
    <phoneticPr fontId="54" type="noConversion"/>
  </si>
  <si>
    <t>产品{V}闭环反馈控制功能</t>
    <phoneticPr fontId="54" type="noConversion"/>
  </si>
  <si>
    <t>不用</t>
    <phoneticPr fontId="54" type="noConversion"/>
  </si>
  <si>
    <t>调光范围与步距{V}</t>
    <phoneticPr fontId="54" type="noConversion"/>
  </si>
  <si>
    <t>产品具备{V}</t>
    <phoneticPr fontId="54" type="noConversion"/>
  </si>
  <si>
    <t>频闪模式</t>
    <phoneticPr fontId="54" type="noConversion"/>
  </si>
  <si>
    <t>产品{V}工作</t>
    <phoneticPr fontId="54" type="noConversion"/>
  </si>
  <si>
    <t>无需频闪</t>
    <phoneticPr fontId="54" type="noConversion"/>
  </si>
  <si>
    <t>调速风扇工作逻辑{V}</t>
    <phoneticPr fontId="54" type="noConversion"/>
  </si>
  <si>
    <t>超温报警温度与保护逻辑{V}</t>
    <phoneticPr fontId="54" type="noConversion"/>
  </si>
  <si>
    <t>涉及导光束</t>
    <phoneticPr fontId="54" type="noConversion"/>
  </si>
  <si>
    <t>配转接座</t>
    <phoneticPr fontId="54" type="noConversion"/>
  </si>
  <si>
    <t>定制转接座尺寸</t>
    <phoneticPr fontId="54" type="noConversion"/>
  </si>
  <si>
    <t>定制转接座材质表面</t>
    <phoneticPr fontId="54" type="noConversion"/>
  </si>
  <si>
    <t>客供导光束测拉力</t>
    <phoneticPr fontId="54" type="noConversion"/>
  </si>
  <si>
    <t>指定拉力标准</t>
    <phoneticPr fontId="54" type="noConversion"/>
  </si>
  <si>
    <t>限噪声</t>
    <phoneticPr fontId="54" type="noConversion"/>
  </si>
  <si>
    <t>限IP防护等级</t>
    <phoneticPr fontId="54" type="noConversion"/>
  </si>
  <si>
    <t>限产品外形与安装孔</t>
    <phoneticPr fontId="54" type="noConversion"/>
  </si>
  <si>
    <t>限出光口位置</t>
    <phoneticPr fontId="54" type="noConversion"/>
  </si>
  <si>
    <t>限出线位置</t>
    <phoneticPr fontId="54" type="noConversion"/>
  </si>
  <si>
    <t>限进出风道</t>
    <phoneticPr fontId="54" type="noConversion"/>
  </si>
  <si>
    <t>指定产品表面工艺</t>
    <phoneticPr fontId="54" type="noConversion"/>
  </si>
  <si>
    <t>规定使用调速风扇</t>
    <phoneticPr fontId="54" type="noConversion"/>
  </si>
  <si>
    <t>指定风扇</t>
    <phoneticPr fontId="54" type="noConversion"/>
  </si>
  <si>
    <t>定制散热器</t>
    <phoneticPr fontId="54" type="noConversion"/>
  </si>
  <si>
    <t>特定调光要求</t>
    <phoneticPr fontId="54" type="noConversion"/>
  </si>
  <si>
    <t>指定风扇调速逻辑</t>
    <phoneticPr fontId="54" type="noConversion"/>
  </si>
  <si>
    <t>指定超温报警温度与逻辑</t>
    <phoneticPr fontId="54" type="noConversion"/>
  </si>
  <si>
    <t>50%亮度要测的光参数有哪些</t>
    <phoneticPr fontId="54" type="noConversion"/>
  </si>
  <si>
    <t>光斑均匀性</t>
  </si>
  <si>
    <t>导光束数值孔径{V}</t>
    <phoneticPr fontId="54" type="noConversion"/>
  </si>
  <si>
    <t>指定导光束测光参数</t>
    <phoneticPr fontId="54" type="noConversion"/>
  </si>
  <si>
    <t>转接座分拆同箱包装</t>
    <phoneticPr fontId="54" type="noConversion"/>
  </si>
  <si>
    <t>转接座一体包装</t>
    <phoneticPr fontId="54" type="noConversion"/>
  </si>
  <si>
    <t>转接座分箱包装</t>
    <phoneticPr fontId="54" type="noConversion"/>
  </si>
  <si>
    <t>导光束插拔定制逻辑</t>
    <phoneticPr fontId="54" type="noConversion"/>
  </si>
  <si>
    <t>指定电气接口</t>
    <phoneticPr fontId="54" type="noConversion"/>
  </si>
  <si>
    <t>定期校正功能</t>
    <phoneticPr fontId="54" type="noConversion"/>
  </si>
  <si>
    <t>闭环反馈控制</t>
    <phoneticPr fontId="54" type="noConversion"/>
  </si>
  <si>
    <t>频闪功能</t>
    <phoneticPr fontId="54" type="noConversion"/>
  </si>
  <si>
    <t>显示屏（仅显示）</t>
    <phoneticPr fontId="54" type="noConversion"/>
  </si>
  <si>
    <t>无光学补充需求</t>
    <phoneticPr fontId="54" type="noConversion"/>
  </si>
  <si>
    <t>选择是否要继续补充光学需求。</t>
    <phoneticPr fontId="54" type="noConversion"/>
  </si>
  <si>
    <t>填写上面需求确认项无提及但客户有要求的光学内容。</t>
    <phoneticPr fontId="54" type="noConversion"/>
  </si>
  <si>
    <t>填写上面需求确认项无提及但客户有要求的结构内容。</t>
    <phoneticPr fontId="54" type="noConversion"/>
  </si>
  <si>
    <t>填写上面需求确认项无提及但客户有要求的硬件内容。</t>
    <phoneticPr fontId="54" type="noConversion"/>
  </si>
  <si>
    <t>填写上面需求确认项无提及但客户有要求的软件内容。</t>
    <phoneticPr fontId="54" type="noConversion"/>
  </si>
  <si>
    <t>填写上面需求确认项无提及但客户有要求的工艺内容。</t>
    <phoneticPr fontId="54" type="noConversion"/>
  </si>
  <si>
    <t>是否补充结构需求</t>
    <phoneticPr fontId="54" type="noConversion"/>
  </si>
  <si>
    <t>无结构补充需求</t>
    <phoneticPr fontId="54" type="noConversion"/>
  </si>
  <si>
    <t>选择是否要继续补充结构需求。</t>
    <phoneticPr fontId="54" type="noConversion"/>
  </si>
  <si>
    <t>是否补充硬件需求</t>
    <phoneticPr fontId="54" type="noConversion"/>
  </si>
  <si>
    <t>无硬件补充需求</t>
    <phoneticPr fontId="54" type="noConversion"/>
  </si>
  <si>
    <t>选择是否要继续补充硬件需求。</t>
    <phoneticPr fontId="54" type="noConversion"/>
  </si>
  <si>
    <t>是否补充软件需求</t>
    <phoneticPr fontId="54" type="noConversion"/>
  </si>
  <si>
    <t>无软件补充需求</t>
    <phoneticPr fontId="54" type="noConversion"/>
  </si>
  <si>
    <t>选择是否要继续补充软件需求。</t>
    <phoneticPr fontId="54" type="noConversion"/>
  </si>
  <si>
    <t>是否补充工艺需求</t>
    <phoneticPr fontId="54" type="noConversion"/>
  </si>
  <si>
    <t>无工艺补充需求</t>
    <phoneticPr fontId="54" type="noConversion"/>
  </si>
  <si>
    <t>选择是否要继续补充工艺需求。</t>
    <phoneticPr fontId="54" type="noConversion"/>
  </si>
  <si>
    <t>是否限制产品风道</t>
    <phoneticPr fontId="54" type="noConversion"/>
  </si>
  <si>
    <t>以太网</t>
    <phoneticPr fontId="54" type="noConversion"/>
  </si>
  <si>
    <t>选择产品的网络角色</t>
    <phoneticPr fontId="54" type="noConversion"/>
  </si>
  <si>
    <t>服务端</t>
    <phoneticPr fontId="54" type="noConversion"/>
  </si>
  <si>
    <t>客户端</t>
    <phoneticPr fontId="54" type="noConversion"/>
  </si>
  <si>
    <t>需扮演{V}功能角色</t>
    <phoneticPr fontId="54" type="noConversion"/>
  </si>
  <si>
    <t>产品在网络通信中扮演的逻辑角色与功能实现，是属于服务端还是客户端、异或两种都是。</t>
    <phoneticPr fontId="54" type="noConversion"/>
  </si>
  <si>
    <t>外部触发</t>
    <phoneticPr fontId="54" type="noConversion"/>
  </si>
  <si>
    <t>外部触发(频闪)</t>
    <phoneticPr fontId="54" type="noConversion"/>
  </si>
  <si>
    <t>配(默认)</t>
    <phoneticPr fontId="54" type="noConversion"/>
  </si>
  <si>
    <t>不配</t>
    <phoneticPr fontId="54" type="noConversion"/>
  </si>
  <si>
    <t>配</t>
    <phoneticPr fontId="54" type="noConversion"/>
  </si>
  <si>
    <t>{V}我司默认转接座旋帽</t>
    <phoneticPr fontId="54" type="noConversion"/>
  </si>
  <si>
    <t>定制旋帽</t>
    <phoneticPr fontId="54" type="noConversion"/>
  </si>
  <si>
    <t>定制</t>
    <phoneticPr fontId="54" type="noConversion"/>
  </si>
  <si>
    <t>{V}转接座旋帽</t>
    <phoneticPr fontId="54" type="noConversion"/>
  </si>
  <si>
    <t>不配旋帽</t>
    <phoneticPr fontId="54" type="noConversion"/>
  </si>
  <si>
    <t>填写旋帽具体定制要求</t>
    <phoneticPr fontId="54" type="noConversion"/>
  </si>
  <si>
    <t>转接座旋帽定制要求：{V}</t>
    <phoneticPr fontId="54" type="noConversion"/>
  </si>
  <si>
    <t>填写具体的ESD(静电放电)要求</t>
    <phoneticPr fontId="54" type="noConversion"/>
  </si>
  <si>
    <t>是否对ESD(静电放电)作具体要求</t>
    <phoneticPr fontId="54" type="noConversion"/>
  </si>
  <si>
    <t>ESD具体要求：{V}</t>
    <phoneticPr fontId="54" type="noConversion"/>
  </si>
  <si>
    <t>产品{V}具体ESD要求</t>
    <phoneticPr fontId="54" type="noConversion"/>
  </si>
  <si>
    <t>无</t>
    <phoneticPr fontId="54" type="noConversion"/>
  </si>
  <si>
    <t>填写具体ESD要求，可附上文件进行说明。</t>
    <phoneticPr fontId="54" type="noConversion"/>
  </si>
  <si>
    <t>照度要求：[{K}：{V}]</t>
    <phoneticPr fontId="54" type="noConversion"/>
  </si>
  <si>
    <t>辐照度要求：[{K}：{V}]</t>
    <phoneticPr fontId="54" type="noConversion"/>
  </si>
  <si>
    <t>亮度要求：[{K}：{V}]</t>
    <phoneticPr fontId="54" type="noConversion"/>
  </si>
  <si>
    <t>光斑尺寸要求：[{K}：{V}]</t>
    <phoneticPr fontId="54" type="noConversion"/>
  </si>
  <si>
    <t>光斑均匀性要求：[{K}：{V}]</t>
    <phoneticPr fontId="54" type="noConversion"/>
  </si>
  <si>
    <t>软式内窥镜</t>
    <phoneticPr fontId="54" type="noConversion"/>
  </si>
  <si>
    <t>硬式内窥镜</t>
    <phoneticPr fontId="54" type="noConversion"/>
  </si>
  <si>
    <t>客户使用的内窥镜属于以下哪种</t>
    <phoneticPr fontId="54" type="noConversion"/>
  </si>
  <si>
    <t>软镜</t>
    <phoneticPr fontId="54" type="noConversion"/>
  </si>
  <si>
    <t>硬镜</t>
    <phoneticPr fontId="54" type="noConversion"/>
  </si>
  <si>
    <t>客户使用{V}，导光束口径较小</t>
    <phoneticPr fontId="54" type="noConversion"/>
  </si>
  <si>
    <t>客户使用{V}，导光束口径较大</t>
    <phoneticPr fontId="54" type="noConversion"/>
  </si>
  <si>
    <t>我们的产品将搭配硬镜或软镜使用，软镜导光束较小，光学方案设计时将优先考虑小光源。</t>
    <phoneticPr fontId="54" type="noConversion"/>
  </si>
  <si>
    <t>驱动板与灯头主体采用哪种布局方案</t>
    <phoneticPr fontId="54" type="noConversion"/>
  </si>
  <si>
    <t>分体式</t>
    <phoneticPr fontId="54" type="noConversion"/>
  </si>
  <si>
    <t>内置一体式</t>
    <phoneticPr fontId="54" type="noConversion"/>
  </si>
  <si>
    <t>内置</t>
    <phoneticPr fontId="54" type="noConversion"/>
  </si>
  <si>
    <t>外露固定</t>
    <phoneticPr fontId="54" type="noConversion"/>
  </si>
  <si>
    <t>外露固定式</t>
    <phoneticPr fontId="54" type="noConversion"/>
  </si>
  <si>
    <t>驱动板{V}</t>
    <phoneticPr fontId="54" type="noConversion"/>
  </si>
  <si>
    <t>分体安装式</t>
    <phoneticPr fontId="54" type="noConversion"/>
  </si>
  <si>
    <t>分体安装</t>
    <phoneticPr fontId="54" type="noConversion"/>
  </si>
  <si>
    <t>驱动板选择内置在模组里（看不见）、外露固定在灯头上、与灯头分开客户自己决定安装位置。</t>
    <phoneticPr fontId="54" type="noConversion"/>
  </si>
  <si>
    <t>转接座外观颜色{V}</t>
    <phoneticPr fontId="54" type="noConversion"/>
  </si>
  <si>
    <t>转接座外观颜色要求：{V}</t>
    <phoneticPr fontId="54" type="noConversion"/>
  </si>
  <si>
    <t>是否要求随货提供输入配线、是否定制</t>
    <phoneticPr fontId="54" type="noConversion"/>
  </si>
  <si>
    <t>供默认</t>
    <phoneticPr fontId="54" type="noConversion"/>
  </si>
  <si>
    <t>供定制</t>
    <phoneticPr fontId="54" type="noConversion"/>
  </si>
  <si>
    <t>不供</t>
    <phoneticPr fontId="54" type="noConversion"/>
  </si>
  <si>
    <t>供默认输入线</t>
    <phoneticPr fontId="54" type="noConversion"/>
  </si>
  <si>
    <t>供定制输入线</t>
    <phoneticPr fontId="54" type="noConversion"/>
  </si>
  <si>
    <t>提供默认输入线</t>
    <phoneticPr fontId="54" type="noConversion"/>
  </si>
  <si>
    <t>提供定制输入线</t>
    <phoneticPr fontId="54" type="noConversion"/>
  </si>
  <si>
    <t>提供默认</t>
    <phoneticPr fontId="54" type="noConversion"/>
  </si>
  <si>
    <t>提供定制</t>
    <phoneticPr fontId="54" type="noConversion"/>
  </si>
  <si>
    <t>输入配线定制要求：{V}</t>
    <phoneticPr fontId="54" type="noConversion"/>
  </si>
  <si>
    <t>填写输入配线具体定制要求，如规格、颜色、线长、连接器等等信息。</t>
    <phoneticPr fontId="54" type="noConversion"/>
  </si>
  <si>
    <t>否</t>
    <phoneticPr fontId="54" type="noConversion"/>
  </si>
  <si>
    <t>定制灯头/驱动板输出线材</t>
    <phoneticPr fontId="54" type="noConversion"/>
  </si>
  <si>
    <t>灯头/驱动板输出配线{V}</t>
    <phoneticPr fontId="54" type="noConversion"/>
  </si>
  <si>
    <t>是否定制灯头/驱动板输出配线</t>
    <phoneticPr fontId="54" type="noConversion"/>
  </si>
  <si>
    <t>填写灯头/驱动板输出配线的定制要求</t>
    <phoneticPr fontId="54" type="noConversion"/>
  </si>
  <si>
    <t>填写输入配线的定制要求</t>
    <phoneticPr fontId="54" type="noConversion"/>
  </si>
  <si>
    <t>灯头/驱动板输出配线定制要求：{V}</t>
    <phoneticPr fontId="54" type="noConversion"/>
  </si>
  <si>
    <t>硬件控制</t>
    <phoneticPr fontId="54" type="noConversion"/>
  </si>
  <si>
    <t>光源</t>
    <phoneticPr fontId="54" type="noConversion"/>
  </si>
  <si>
    <t>是否对产品提出其它可靠性测试要求</t>
    <phoneticPr fontId="54" type="noConversion"/>
  </si>
  <si>
    <t>填写其它可靠性测试要求</t>
    <phoneticPr fontId="54" type="noConversion"/>
  </si>
  <si>
    <t>其它可靠性测试具体要求：{V}</t>
    <phoneticPr fontId="54" type="noConversion"/>
  </si>
  <si>
    <t>产品{V}其它可靠行测试要求</t>
    <phoneticPr fontId="54" type="noConversion"/>
  </si>
  <si>
    <t>填写其它可靠性测试要求，可附上文件进行说明。</t>
    <phoneticPr fontId="54" type="noConversion"/>
  </si>
  <si>
    <t>有无竞品提供测试参考</t>
    <phoneticPr fontId="54" type="noConversion"/>
  </si>
  <si>
    <t>有</t>
    <phoneticPr fontId="54" type="noConversion"/>
  </si>
  <si>
    <t>提供</t>
    <phoneticPr fontId="54" type="noConversion"/>
  </si>
  <si>
    <t>客户设计我司生产</t>
    <phoneticPr fontId="54" type="noConversion"/>
  </si>
  <si>
    <t>我司设计客户生产</t>
    <phoneticPr fontId="54" type="noConversion"/>
  </si>
  <si>
    <t>我司设计与生产</t>
    <phoneticPr fontId="54" type="noConversion"/>
  </si>
  <si>
    <t>客户是否指定产品需要安装如滤光片、ND镜、偏振镜、传感器、其它标准部件等。</t>
    <phoneticPr fontId="54" type="noConversion"/>
  </si>
  <si>
    <t>询问指定装载部件的设计与供货形式。</t>
    <phoneticPr fontId="54" type="noConversion"/>
  </si>
  <si>
    <t>以{V}的形式装载客户指定部件</t>
    <phoneticPr fontId="54" type="noConversion"/>
  </si>
  <si>
    <t>{V}其它指定装载部件</t>
    <phoneticPr fontId="54" type="noConversion"/>
  </si>
  <si>
    <t>指定装载部件的供货形式</t>
    <phoneticPr fontId="54" type="noConversion"/>
  </si>
  <si>
    <t>是否要求产品装载其它指定部件</t>
    <phoneticPr fontId="54" type="noConversion"/>
  </si>
  <si>
    <t>装载指定部件</t>
    <phoneticPr fontId="54" type="noConversion"/>
  </si>
  <si>
    <t>指定装载部件的技术要求</t>
    <phoneticPr fontId="54" type="noConversion"/>
  </si>
  <si>
    <t>指定装载部件的技术要求：{V}</t>
    <phoneticPr fontId="54" type="noConversion"/>
  </si>
  <si>
    <t>填写客户对指定装载部件的技术要求。</t>
    <phoneticPr fontId="54" type="noConversion"/>
  </si>
  <si>
    <t>提供指定装载部件的规格尺寸或图纸</t>
    <phoneticPr fontId="54" type="noConversion"/>
  </si>
  <si>
    <t>指定装载部件的规格尺寸：{V}</t>
    <phoneticPr fontId="54" type="noConversion"/>
  </si>
  <si>
    <t>填写客户设计或供货的指定装载部件的规格尺寸或图纸，我司需要根据提供的资料配合评估设计。</t>
    <phoneticPr fontId="54" type="noConversion"/>
  </si>
  <si>
    <t>不拆</t>
    <phoneticPr fontId="54" type="noConversion"/>
  </si>
  <si>
    <t>产品指定装载部件的拆装要求</t>
    <phoneticPr fontId="54" type="noConversion"/>
  </si>
  <si>
    <t>频繁拆装</t>
    <phoneticPr fontId="54" type="noConversion"/>
  </si>
  <si>
    <t>低频拆装</t>
    <phoneticPr fontId="54" type="noConversion"/>
  </si>
  <si>
    <t>不拆</t>
    <phoneticPr fontId="54" type="noConversion"/>
  </si>
  <si>
    <t>是</t>
    <phoneticPr fontId="54" type="noConversion"/>
  </si>
  <si>
    <t>不拆卸</t>
    <phoneticPr fontId="54" type="noConversion"/>
  </si>
  <si>
    <t>客户指定部件会{V}</t>
    <phoneticPr fontId="54" type="noConversion"/>
  </si>
  <si>
    <t>客户指定部件{V}</t>
    <phoneticPr fontId="54" type="noConversion"/>
  </si>
  <si>
    <t>客户指定部件{V}</t>
    <phoneticPr fontId="54" type="noConversion"/>
  </si>
  <si>
    <t>不需运动</t>
    <phoneticPr fontId="54" type="noConversion"/>
  </si>
  <si>
    <t>有需要运动的</t>
    <phoneticPr fontId="54" type="noConversion"/>
  </si>
  <si>
    <t>产品指定装载部件是否有需要运动的</t>
    <phoneticPr fontId="54" type="noConversion"/>
  </si>
  <si>
    <t>询问指定装载部件需不需要设计成可拆装的，以及在什么场景下会拆装，选择拆装频繁程度。</t>
    <phoneticPr fontId="54" type="noConversion"/>
  </si>
  <si>
    <t>询问指定装载部件需不需要运动，异或安装后就静止不动。</t>
    <phoneticPr fontId="54" type="noConversion"/>
  </si>
  <si>
    <t>全员</t>
    <phoneticPr fontId="54" type="noConversion"/>
  </si>
  <si>
    <t>填写客户对指定装载部件的运动逻辑、切换速度、或其它技术要求。</t>
    <phoneticPr fontId="54" type="noConversion"/>
  </si>
  <si>
    <t>指定装载部件的运动逻辑与技术要求</t>
    <phoneticPr fontId="54" type="noConversion"/>
  </si>
  <si>
    <t>指定装载部件的运动逻辑与技术要求：{V}</t>
    <phoneticPr fontId="54" type="noConversion"/>
  </si>
  <si>
    <t>多种光色输出</t>
    <phoneticPr fontId="54" type="noConversion"/>
  </si>
  <si>
    <t>产品仅需{V}</t>
    <phoneticPr fontId="54" type="noConversion"/>
  </si>
  <si>
    <t>不同光色输出切换速度要求：{V}</t>
    <phoneticPr fontId="54" type="noConversion"/>
  </si>
  <si>
    <t>填写不同光色输出切换时的速度要求</t>
    <phoneticPr fontId="54" type="noConversion"/>
  </si>
  <si>
    <t>是否补充光学/光源需求</t>
    <phoneticPr fontId="54" type="noConversion"/>
  </si>
  <si>
    <t>请提供剩余产品光学/光源补充需求</t>
    <phoneticPr fontId="54" type="noConversion"/>
  </si>
  <si>
    <t>补充光学/光源要求：{V}</t>
    <phoneticPr fontId="54" type="noConversion"/>
  </si>
  <si>
    <t>光学+硬件+结构+工艺+质量</t>
    <phoneticPr fontId="54" type="noConversion"/>
  </si>
  <si>
    <t>外显产品</t>
    <phoneticPr fontId="54" type="noConversion"/>
  </si>
  <si>
    <t>内置产品</t>
    <phoneticPr fontId="54" type="noConversion"/>
  </si>
  <si>
    <t>填写指定转接座型号</t>
    <phoneticPr fontId="54" type="noConversion"/>
  </si>
  <si>
    <t>指定搭配转接座型号：{V}</t>
    <phoneticPr fontId="54" type="noConversion"/>
  </si>
  <si>
    <t>产品外表Logo要求</t>
    <phoneticPr fontId="54" type="noConversion"/>
  </si>
  <si>
    <t>产品外表Logo{V}</t>
    <phoneticPr fontId="54" type="noConversion"/>
  </si>
  <si>
    <t>产品外表Logo要求：{V}</t>
    <phoneticPr fontId="54" type="noConversion"/>
  </si>
  <si>
    <t>是否指定产品面板的界面菜单内容或工艺</t>
    <phoneticPr fontId="54" type="noConversion"/>
  </si>
  <si>
    <t>产品面板的界面菜单内容或工艺要求</t>
    <phoneticPr fontId="54" type="noConversion"/>
  </si>
  <si>
    <t>产品面板的界面菜单内容与工艺{V}</t>
    <phoneticPr fontId="54" type="noConversion"/>
  </si>
  <si>
    <t>产品面板的界面菜单内容与工艺要求：{V}</t>
    <phoneticPr fontId="54" type="noConversion"/>
  </si>
  <si>
    <t>产品标签要求：{V}</t>
    <phoneticPr fontId="54" type="noConversion"/>
  </si>
  <si>
    <t>产品标签{V}</t>
    <phoneticPr fontId="54" type="noConversion"/>
  </si>
  <si>
    <t>是否定制产品标签</t>
    <phoneticPr fontId="54" type="noConversion"/>
  </si>
  <si>
    <t>填写产品标签定制要求</t>
    <phoneticPr fontId="54" type="noConversion"/>
  </si>
  <si>
    <t>定制标签</t>
    <phoneticPr fontId="54" type="noConversion"/>
  </si>
  <si>
    <t>产品外壳合适位置会粘贴产品标签，客户是否指定标签的格式、内容、粘贴位置、材质、颜色、工艺。</t>
    <phoneticPr fontId="54" type="noConversion"/>
  </si>
  <si>
    <t>是否要求中性包装(无我司Logo)</t>
    <phoneticPr fontId="54" type="noConversion"/>
  </si>
  <si>
    <t>中性包装</t>
    <phoneticPr fontId="54" type="noConversion"/>
  </si>
  <si>
    <t>包材要求{V}</t>
    <phoneticPr fontId="54" type="noConversion"/>
  </si>
  <si>
    <t>包材{V}</t>
    <phoneticPr fontId="54" type="noConversion"/>
  </si>
  <si>
    <t>无中性要求</t>
    <phoneticPr fontId="54" type="noConversion"/>
  </si>
  <si>
    <t>我司默认在纸箱上会印有公司Logo，部分客户会要求包材不能有我司Logo出现。</t>
    <phoneticPr fontId="54" type="noConversion"/>
  </si>
  <si>
    <t>光学+结构+硬件+工艺+质量</t>
    <phoneticPr fontId="54" type="noConversion"/>
  </si>
  <si>
    <t>产品工作姿态：{V}</t>
    <phoneticPr fontId="54" type="noConversion"/>
  </si>
  <si>
    <t>结构+光学+硬件</t>
    <phoneticPr fontId="54" type="noConversion"/>
  </si>
  <si>
    <t>产品物料成本限制</t>
    <phoneticPr fontId="54" type="noConversion"/>
  </si>
  <si>
    <t>上限</t>
    <phoneticPr fontId="54" type="noConversion"/>
  </si>
  <si>
    <t>是否存在要求单独包装的部件</t>
    <phoneticPr fontId="54" type="noConversion"/>
  </si>
  <si>
    <t>填写不跟产品主体一起配套包装，而要单独包装的部件名称，无要求则填"无"。</t>
    <phoneticPr fontId="54" type="noConversion"/>
  </si>
  <si>
    <t>要求单独包装的部件：{V}</t>
    <phoneticPr fontId="54" type="noConversion"/>
  </si>
  <si>
    <t>校正功能的交付形式</t>
    <phoneticPr fontId="54" type="noConversion"/>
  </si>
  <si>
    <t>软件系统</t>
    <phoneticPr fontId="54" type="noConversion"/>
  </si>
  <si>
    <t>校正治具</t>
    <phoneticPr fontId="54" type="noConversion"/>
  </si>
  <si>
    <t>以{V}的形式交付校正功能</t>
    <phoneticPr fontId="54" type="noConversion"/>
  </si>
  <si>
    <t>是否指定通讯协议</t>
    <phoneticPr fontId="54" type="noConversion"/>
  </si>
  <si>
    <t>指定通讯协议</t>
    <phoneticPr fontId="54" type="noConversion"/>
  </si>
  <si>
    <t>{V}通讯协议</t>
    <phoneticPr fontId="54" type="noConversion"/>
  </si>
  <si>
    <t>填写客户指定的通讯协议</t>
    <phoneticPr fontId="54" type="noConversion"/>
  </si>
  <si>
    <t>客户指定通讯协议：{V}</t>
    <phoneticPr fontId="54" type="noConversion"/>
  </si>
  <si>
    <t>填写具体协议标准，或提交协议内容说明文档。</t>
    <phoneticPr fontId="54" type="noConversion"/>
  </si>
  <si>
    <t>所选产品控制方式涉及通讯协议，是否由客户直接指定，异或由我司确定。</t>
    <phoneticPr fontId="54" type="noConversion"/>
  </si>
  <si>
    <t>是否要求产品具备在线升级功能</t>
    <phoneticPr fontId="54" type="noConversion"/>
  </si>
  <si>
    <t>填写在线升级功能技术要求</t>
    <phoneticPr fontId="54" type="noConversion"/>
  </si>
  <si>
    <t>不需要</t>
    <phoneticPr fontId="54" type="noConversion"/>
  </si>
  <si>
    <t>在线升级</t>
    <phoneticPr fontId="54" type="noConversion"/>
  </si>
  <si>
    <t>{V}在线升级功能</t>
    <phoneticPr fontId="54" type="noConversion"/>
  </si>
  <si>
    <t>在线升级功能技术要求：{V}</t>
    <phoneticPr fontId="54" type="noConversion"/>
  </si>
  <si>
    <t>填写在线升级技术要求，如接口、操作方式、软件、安全性、适用场景等，异或提供说明文档。</t>
    <phoneticPr fontId="54" type="noConversion"/>
  </si>
  <si>
    <t>填写客户要求提供的状态报警项</t>
    <phoneticPr fontId="54" type="noConversion"/>
  </si>
  <si>
    <t>是否要求产品提供状态报警信息</t>
    <phoneticPr fontId="54" type="noConversion"/>
  </si>
  <si>
    <t>提供状态报警信号</t>
    <phoneticPr fontId="54" type="noConversion"/>
  </si>
  <si>
    <t>{V}提供状态报警信号</t>
    <phoneticPr fontId="54" type="noConversion"/>
  </si>
  <si>
    <t>需要提供的状态报警项与要求：{V}</t>
    <phoneticPr fontId="54" type="noConversion"/>
  </si>
  <si>
    <t>产品是否需要具备在线升级功能（在不拆开产品机壳、不使用专用烧录器的情况下，通过外部通讯接口更新设备的固件程序）。</t>
    <phoneticPr fontId="54" type="noConversion"/>
  </si>
  <si>
    <t>填写客户要求提供的状态报警项及详细技术要求，异或提供说明文档。</t>
    <phoneticPr fontId="54" type="noConversion"/>
  </si>
  <si>
    <t>是否要求产品光电响应速度</t>
    <phoneticPr fontId="54" type="noConversion"/>
  </si>
  <si>
    <t>要求光电响应速度</t>
    <phoneticPr fontId="54" type="noConversion"/>
  </si>
  <si>
    <t>{V}产品光电响应速度</t>
    <phoneticPr fontId="54" type="noConversion"/>
  </si>
  <si>
    <t>产品光电响应速度要求：{V}</t>
    <phoneticPr fontId="54" type="noConversion"/>
  </si>
  <si>
    <t>产品从发出信号到光输出发生变化，存在时间延迟，客户是否对这个延迟时间有具体要求。</t>
    <phoneticPr fontId="54" type="noConversion"/>
  </si>
  <si>
    <t>填写具体光电响应速度/时间延迟要求。</t>
    <phoneticPr fontId="54" type="noConversion"/>
  </si>
  <si>
    <t>填写光电响应速度技术要求</t>
    <phoneticPr fontId="54" type="noConversion"/>
  </si>
  <si>
    <t>串口通讯波特率</t>
    <phoneticPr fontId="54" type="noConversion"/>
  </si>
  <si>
    <t>波特率9600</t>
    <phoneticPr fontId="54" type="noConversion"/>
  </si>
  <si>
    <t>波特率19200</t>
    <phoneticPr fontId="54" type="noConversion"/>
  </si>
  <si>
    <t>波特率115200</t>
    <phoneticPr fontId="54" type="noConversion"/>
  </si>
  <si>
    <t>串口通讯波特率选择{V}</t>
    <phoneticPr fontId="54" type="noConversion"/>
  </si>
  <si>
    <t>选择串口通讯波特率。</t>
    <phoneticPr fontId="54" type="noConversion"/>
  </si>
  <si>
    <t>串口通讯其它技术要求</t>
    <phoneticPr fontId="54" type="noConversion"/>
  </si>
  <si>
    <t>串口通讯其它技术要求：{V}</t>
    <phoneticPr fontId="54" type="noConversion"/>
  </si>
  <si>
    <t>外部触发模式技术要求</t>
    <phoneticPr fontId="54" type="noConversion"/>
  </si>
  <si>
    <t>PWM调光技术要求</t>
    <phoneticPr fontId="54" type="noConversion"/>
  </si>
  <si>
    <t>外部触发技术要求：{V}</t>
    <phoneticPr fontId="54" type="noConversion"/>
  </si>
  <si>
    <t>PWM调光技术要求：{V}</t>
    <phoneticPr fontId="54" type="noConversion"/>
  </si>
  <si>
    <t>以太网模式技术要求</t>
    <phoneticPr fontId="54" type="noConversion"/>
  </si>
  <si>
    <t>电位器调光技术要求</t>
    <phoneticPr fontId="54" type="noConversion"/>
  </si>
  <si>
    <t>总线类CAN模式技术要求</t>
    <phoneticPr fontId="54" type="noConversion"/>
  </si>
  <si>
    <t>CAN模式技术要求：{V}</t>
    <phoneticPr fontId="54" type="noConversion"/>
  </si>
  <si>
    <t>以太网模式技术要求：{V}</t>
    <phoneticPr fontId="54" type="noConversion"/>
  </si>
  <si>
    <t>电位器调光技术要求：{V}</t>
    <phoneticPr fontId="54" type="noConversion"/>
  </si>
  <si>
    <t>具体的状态显示/UI设计与逻辑要求</t>
    <phoneticPr fontId="54" type="noConversion"/>
  </si>
  <si>
    <t>状态显示/UI与逻辑要求：{V}</t>
    <phoneticPr fontId="54" type="noConversion"/>
  </si>
  <si>
    <t>IIC模式技术要求</t>
    <phoneticPr fontId="54" type="noConversion"/>
  </si>
  <si>
    <t>IIC技术要求：{V}</t>
    <phoneticPr fontId="54" type="noConversion"/>
  </si>
  <si>
    <t>SPI模式技术要求</t>
    <phoneticPr fontId="54" type="noConversion"/>
  </si>
  <si>
    <t>SPI技术要求：{V}</t>
    <phoneticPr fontId="54" type="noConversion"/>
  </si>
  <si>
    <t>开关/踏板模式技术要求</t>
    <phoneticPr fontId="54" type="noConversion"/>
  </si>
  <si>
    <t>按键开关/踏板技术要求：{V}</t>
    <phoneticPr fontId="54" type="noConversion"/>
  </si>
  <si>
    <t>编码器模式技术要求</t>
    <phoneticPr fontId="54" type="noConversion"/>
  </si>
  <si>
    <t>编码器技术要求：{V}</t>
    <phoneticPr fontId="54" type="noConversion"/>
  </si>
  <si>
    <t>触控屏模式技术要求</t>
    <phoneticPr fontId="54" type="noConversion"/>
  </si>
  <si>
    <t>触控屏技术要求：{V}</t>
    <phoneticPr fontId="54" type="noConversion"/>
  </si>
  <si>
    <t>填写输出配线具体定制要求，如规格、颜色、线长(默认从出线口开始计算线长)、连接器等等信息。</t>
    <phoneticPr fontId="54" type="noConversion"/>
  </si>
  <si>
    <t>产品谁设计谁生产</t>
    <phoneticPr fontId="54" type="noConversion"/>
  </si>
  <si>
    <t>设计生产</t>
    <phoneticPr fontId="54" type="noConversion"/>
  </si>
  <si>
    <t>设计</t>
    <phoneticPr fontId="54" type="noConversion"/>
  </si>
  <si>
    <t>代工</t>
    <phoneticPr fontId="54" type="noConversion"/>
  </si>
  <si>
    <t>设计与生产</t>
    <phoneticPr fontId="54" type="noConversion"/>
  </si>
  <si>
    <t>仅设计</t>
    <phoneticPr fontId="54" type="noConversion"/>
  </si>
  <si>
    <t>代工</t>
    <phoneticPr fontId="54" type="noConversion"/>
  </si>
  <si>
    <t>我司负责{V}该产品</t>
    <phoneticPr fontId="54" type="noConversion"/>
  </si>
  <si>
    <t>我司仅负责{V}该产品</t>
    <phoneticPr fontId="54" type="noConversion"/>
  </si>
  <si>
    <t>我司仅设计</t>
    <phoneticPr fontId="54" type="noConversion"/>
  </si>
  <si>
    <t>我司代工</t>
    <phoneticPr fontId="54" type="noConversion"/>
  </si>
  <si>
    <t>我司{V}该款产品</t>
    <phoneticPr fontId="54" type="noConversion"/>
  </si>
  <si>
    <t>提供的输入项数量</t>
    <phoneticPr fontId="54" type="noConversion"/>
  </si>
  <si>
    <t>共{V}项输入</t>
    <phoneticPr fontId="54" type="noConversion"/>
  </si>
  <si>
    <t>请给各输入项取标题</t>
    <phoneticPr fontId="54" type="noConversion"/>
  </si>
  <si>
    <t>输入项分别有：[{V}]</t>
    <phoneticPr fontId="54" type="noConversion"/>
  </si>
  <si>
    <t>标题力求简单明了，如：3D模型、2D工程图、装配作业指导书等。</t>
    <phoneticPr fontId="54" type="noConversion"/>
  </si>
  <si>
    <t>[{K}输入内容：{V}]</t>
    <phoneticPr fontId="54" type="noConversion"/>
  </si>
  <si>
    <t>输入占位提示内容</t>
    <phoneticPr fontId="54" type="noConversion"/>
  </si>
  <si>
    <t>无单位</t>
    <phoneticPr fontId="54" type="noConversion"/>
  </si>
  <si>
    <t>导光束转接座是由我司设计生产，还是客户自行设计生产。</t>
    <phoneticPr fontId="54" type="noConversion"/>
  </si>
  <si>
    <t>是否指定光源超温报警保护温度与保护逻辑，包括可能的减半输出温度、关闭温度、恢复温度等等。</t>
    <phoneticPr fontId="54" type="noConversion"/>
  </si>
  <si>
    <t>单位提示：mm</t>
  </si>
  <si>
    <t>单位提示：nm</t>
  </si>
  <si>
    <t>单位提示：lm</t>
  </si>
  <si>
    <t>单位提示：mW</t>
  </si>
  <si>
    <t>单位提示：cd</t>
  </si>
  <si>
    <t>单位提示：mW/sr</t>
  </si>
  <si>
    <t>单位提示：°</t>
  </si>
  <si>
    <t>单位提示：K</t>
  </si>
  <si>
    <t>单位提示：mW/lm</t>
  </si>
  <si>
    <t>单位提示：℃</t>
  </si>
  <si>
    <t>单位提示：kg</t>
  </si>
  <si>
    <t>单位提示：W</t>
  </si>
  <si>
    <t>单位提示：Lux、mm</t>
    <phoneticPr fontId="54" type="noConversion"/>
  </si>
  <si>
    <t>单位提示：mW/cm²、mm</t>
    <phoneticPr fontId="54" type="noConversion"/>
  </si>
  <si>
    <t>单位提示：cd/m²、mm</t>
    <phoneticPr fontId="54" type="noConversion"/>
  </si>
  <si>
    <t>单位提示：mm</t>
    <phoneticPr fontId="54" type="noConversion"/>
  </si>
  <si>
    <t>选项ID</t>
    <phoneticPr fontId="54" type="noConversion"/>
  </si>
  <si>
    <t>填写客户指定的转接座插拔拉力合格标准，公差示例：±5N，+0/-5N，+5N/-0。</t>
    <phoneticPr fontId="54" type="noConversion"/>
  </si>
  <si>
    <t>是否要求产品外表呈现指定Logo</t>
    <phoneticPr fontId="54" type="noConversion"/>
  </si>
  <si>
    <t>采用{V}方式做状态显示设计</t>
    <phoneticPr fontId="54" type="noConversion"/>
  </si>
  <si>
    <t>白光或混合光对{V}光参数进行了限制</t>
    <phoneticPr fontId="54" type="noConversion"/>
  </si>
  <si>
    <t>单色光对{V}光参数进行了限制</t>
    <phoneticPr fontId="54" type="noConversion"/>
  </si>
  <si>
    <t>定制检测方案</t>
    <phoneticPr fontId="54" type="noConversion"/>
  </si>
  <si>
    <t>定制检测</t>
    <phoneticPr fontId="54" type="noConversion"/>
  </si>
  <si>
    <t>悬臂检测类转接座</t>
    <phoneticPr fontId="54" type="noConversion"/>
  </si>
  <si>
    <t>接近开关检测类转接座</t>
    <phoneticPr fontId="54" type="noConversion"/>
  </si>
  <si>
    <t>普通无检测类转接座</t>
    <phoneticPr fontId="54" type="noConversion"/>
  </si>
  <si>
    <t>定制检测类转接座</t>
    <phoneticPr fontId="54" type="noConversion"/>
  </si>
  <si>
    <t>转接座客户要求{V}</t>
    <phoneticPr fontId="54" type="noConversion"/>
  </si>
  <si>
    <t>填写转接座的导光束检测方案定制要求</t>
    <phoneticPr fontId="54" type="noConversion"/>
  </si>
  <si>
    <t>转接座检测方案定制要求：{V}</t>
    <phoneticPr fontId="54" type="noConversion"/>
  </si>
  <si>
    <t>我司转接座有默认的设计形式，是否符合客户使用场景？
如果客户有形状或尺寸方面的具体定制要求，请选“是”。</t>
    <phoneticPr fontId="54" type="noConversion"/>
  </si>
  <si>
    <t>按YY1081-2011标准要求，光通量、相对色温、显色指数、红绿辐通量比、蓝绿辐通量比
需要在100%与50%亮度情况下均满足声称的规格标准要求</t>
    <phoneticPr fontId="54" type="noConversion"/>
  </si>
  <si>
    <t>我司常规产品默认使用普通无调速功能风扇，特殊需要才会应用调速风扇，
客户是否指定必须使用调速风扇?</t>
    <phoneticPr fontId="54" type="noConversion"/>
  </si>
  <si>
    <t>客户成像端有摄像系统参与就意味着产品不止用于为人眼观察提供照明，
摄像系统能捕捉到更高频率的照明闪烁，这将影响驱动输出方案的选择。</t>
    <phoneticPr fontId="54" type="noConversion"/>
  </si>
  <si>
    <t>驱动板模拟输出将导致光源输出色温随调光档位变化幅度较大，
但可以杜绝摄像系统成像出现闪烁条纹问题；
如果拒绝该方案，将采用PWM输出方案，客户得自己考虑如何解决闪烁条纹问题。</t>
    <phoneticPr fontId="54" type="noConversion"/>
  </si>
  <si>
    <t>驱动板PWM输出将可使色温随调光档位变化很小，
但遇到摄像系统成像时将出现条纹问题，除非使用场景只用人眼观察，频率低于20KHz人耳会听到啸叫；
如果拒绝该方案，将采用模拟输出方案，客户得接受附带出现的色温随调光档位变化明显的问题。</t>
    <phoneticPr fontId="54" type="noConversion"/>
  </si>
  <si>
    <t>产品是否需要提供状态报警信号给客户上位机，
如过温报警、电压/电流异常、制冷系统故障、负载开路/短路、
传感器断线、通讯超时、指令错误、寿命老化预警等。</t>
    <phoneticPr fontId="54" type="noConversion"/>
  </si>
  <si>
    <t>在产品可靠性测试方面，客户有没有提出具体的要求，
比如光通量维持率（光源寿命）、光输出稳定性、光输出复现性、
运动部件寿命次数、振动、跌落、机械冲击、气密性、
高温高湿运行、低温启动、高低温循环、盐雾腐蚀、IP防护等级。</t>
    <phoneticPr fontId="54" type="noConversion"/>
  </si>
  <si>
    <t>光学器件</t>
    <phoneticPr fontId="54" type="noConversion"/>
  </si>
  <si>
    <t>填写产品物料成本限制，设计方案将基于该限制酌情考虑，
研发在预估明显超过成本限制的情况下会反馈给销售。</t>
    <phoneticPr fontId="54" type="noConversion"/>
  </si>
  <si>
    <t>产品是否会被终端用户观察到</t>
    <phoneticPr fontId="54" type="noConversion"/>
  </si>
  <si>
    <t>会</t>
    <phoneticPr fontId="54" type="noConversion"/>
  </si>
  <si>
    <t>不会</t>
    <phoneticPr fontId="54" type="noConversion"/>
  </si>
  <si>
    <t>产品在终端用户使用时{V}被观察到</t>
    <phoneticPr fontId="54" type="noConversion"/>
  </si>
  <si>
    <t>是否绑定转接座型号或下单时选配</t>
    <phoneticPr fontId="54" type="noConversion"/>
  </si>
  <si>
    <t>选配</t>
    <phoneticPr fontId="54" type="noConversion"/>
  </si>
  <si>
    <t>下单时选配</t>
    <phoneticPr fontId="54" type="noConversion"/>
  </si>
  <si>
    <t>产品是否属于医疗内窥镜冷光源/光源模组</t>
    <phoneticPr fontId="54" type="noConversion"/>
  </si>
  <si>
    <t>说明产品应用领域</t>
    <phoneticPr fontId="54" type="noConversion"/>
  </si>
  <si>
    <t>产品应用领域：{V}</t>
    <phoneticPr fontId="54" type="noConversion"/>
  </si>
  <si>
    <t>填写产品将应用于哪个专业领域，
如：内窥镜冷光源、手术显微镜、手术无影灯、牙科检查、牙科固化、特定波段光疗、
紫外灭菌、紫外固化、工业机器视觉、半导体检测、科研实验。</t>
    <phoneticPr fontId="54" type="noConversion"/>
  </si>
  <si>
    <t>产品是否要求实现科勒照明效果</t>
    <phoneticPr fontId="54" type="noConversion"/>
  </si>
  <si>
    <t>产品要求实现{V}</t>
    <phoneticPr fontId="54" type="noConversion"/>
  </si>
  <si>
    <t>科勒照明</t>
    <phoneticPr fontId="54" type="noConversion"/>
  </si>
  <si>
    <t>科勒系统照明工作距离要求：{V}</t>
    <phoneticPr fontId="54" type="noConversion"/>
  </si>
  <si>
    <t>光学+结构</t>
    <phoneticPr fontId="54" type="noConversion"/>
  </si>
  <si>
    <t>填写产品工作距离，如：距离出光口结构端面10mm。</t>
    <phoneticPr fontId="54" type="noConversion"/>
  </si>
  <si>
    <t>填写产品的工作距离</t>
    <phoneticPr fontId="54" type="noConversion"/>
  </si>
  <si>
    <t>填写产品的有效照明直径要求</t>
    <phoneticPr fontId="54" type="noConversion"/>
  </si>
  <si>
    <t>科勒系统照明有效照明直径要求：{V}</t>
    <phoneticPr fontId="54" type="noConversion"/>
  </si>
  <si>
    <t>距离出光口结构端面10mm</t>
    <phoneticPr fontId="54" type="noConversion"/>
  </si>
  <si>
    <t>填写产品的数值孔径NA要求</t>
    <phoneticPr fontId="54" type="noConversion"/>
  </si>
  <si>
    <t>填写产品的远心度要求</t>
    <phoneticPr fontId="54" type="noConversion"/>
  </si>
  <si>
    <t>科勒系统照明数值孔径要求：{V}</t>
    <phoneticPr fontId="54" type="noConversion"/>
  </si>
  <si>
    <t>科勒系统照明远心度要求：{V}</t>
    <phoneticPr fontId="54" type="noConversion"/>
  </si>
  <si>
    <t>填写产品数值孔径NA要求，如：NA0.3。</t>
    <phoneticPr fontId="54" type="noConversion"/>
  </si>
  <si>
    <t>填写产品远心度要求，如：＜3°。</t>
    <phoneticPr fontId="54" type="noConversion"/>
  </si>
  <si>
    <t>＜3°</t>
    <phoneticPr fontId="54" type="noConversion"/>
  </si>
  <si>
    <t>NA0.3</t>
    <phoneticPr fontId="54" type="noConversion"/>
  </si>
  <si>
    <t>科勒照明</t>
    <phoneticPr fontId="54" type="noConversion"/>
  </si>
  <si>
    <t>科勒照明通常应用于高端显微、半导体检测、工业 AOI领域，
益处：光源形状不成像在目标面，能量分布平坦无局部热点，照明区域大小可调以减少杂散光和眩光，照明数值孔径可调带来分辨率、对比度与景深的可调，
缺点：组件多且加工要求高，组装调教难度较高，光能利用率较低，
重点技术指标：工作距离、有效照明直径、数值孔径NA、远心度。</t>
    <phoneticPr fontId="54" type="noConversion"/>
  </si>
  <si>
    <t>产品工作时采取的姿态</t>
    <phoneticPr fontId="54" type="noConversion"/>
  </si>
  <si>
    <t>如：2000RMB</t>
    <phoneticPr fontId="54" type="noConversion"/>
  </si>
  <si>
    <t>导光束作为光源给我司产品提供光，或导光束作为传输工具参与我司产品对光的处理，或我司产品需要将光输出给导光束。</t>
    <phoneticPr fontId="54" type="noConversion"/>
  </si>
  <si>
    <t>单位提示：mm</t>
    <phoneticPr fontId="54" type="noConversion"/>
  </si>
  <si>
    <t>产品是否涉及导光束/光纤</t>
    <phoneticPr fontId="54" type="noConversion"/>
  </si>
  <si>
    <t>导光束/光纤与产品的协同关系</t>
    <phoneticPr fontId="54" type="noConversion"/>
  </si>
  <si>
    <t>我司是否负责导光束/光纤的供货</t>
    <phoneticPr fontId="54" type="noConversion"/>
  </si>
  <si>
    <t>导光束/光纤输入端通光口径</t>
    <phoneticPr fontId="54" type="noConversion"/>
  </si>
  <si>
    <t>导光束/光纤输出端通光口径</t>
    <phoneticPr fontId="54" type="noConversion"/>
  </si>
  <si>
    <t>导光束/光纤NA值</t>
    <phoneticPr fontId="54" type="noConversion"/>
  </si>
  <si>
    <t>导光束/光纤品牌、规格、尺寸</t>
    <phoneticPr fontId="54" type="noConversion"/>
  </si>
  <si>
    <t>产品{V}导光束/光纤</t>
    <phoneticPr fontId="54" type="noConversion"/>
  </si>
  <si>
    <t>导光束/光纤为输入源：{V}</t>
    <phoneticPr fontId="54" type="noConversion"/>
  </si>
  <si>
    <t>导光束/光纤为输出目标：{V}</t>
    <phoneticPr fontId="54" type="noConversion"/>
  </si>
  <si>
    <t>导光束/光纤为传输作用：{V}</t>
    <phoneticPr fontId="54" type="noConversion"/>
  </si>
  <si>
    <t>导光束/光纤作为源与目标：{V}</t>
    <phoneticPr fontId="54" type="noConversion"/>
  </si>
  <si>
    <t>导光束/光纤参与传输也是目标：{V}</t>
    <phoneticPr fontId="54" type="noConversion"/>
  </si>
  <si>
    <t>导光束/光纤作为输入、过程、目标：{V}</t>
    <phoneticPr fontId="54" type="noConversion"/>
  </si>
  <si>
    <t>导光束/光纤由{V}负责供货</t>
    <phoneticPr fontId="54" type="noConversion"/>
  </si>
  <si>
    <t>配导光束/光纤</t>
    <phoneticPr fontId="54" type="noConversion"/>
  </si>
  <si>
    <t>导光束/光纤是否作为产品的一部分卖给客户？</t>
    <phoneticPr fontId="54" type="noConversion"/>
  </si>
  <si>
    <t>导光束/光纤输入端通光口径：{V}</t>
    <phoneticPr fontId="54" type="noConversion"/>
  </si>
  <si>
    <t>导光束/光纤输出端通光口径：{V}</t>
    <phoneticPr fontId="54" type="noConversion"/>
  </si>
  <si>
    <t>导光束/光纤数值孔径：{V}</t>
    <phoneticPr fontId="54" type="noConversion"/>
  </si>
  <si>
    <t>单位提示：mm、cm、m</t>
    <phoneticPr fontId="54" type="noConversion"/>
  </si>
  <si>
    <t>是否由我司负责导光束/光纤转接座的设计生产</t>
    <phoneticPr fontId="54" type="noConversion"/>
  </si>
  <si>
    <t>导光束/光纤转接座由{V}设计生产</t>
    <phoneticPr fontId="54" type="noConversion"/>
  </si>
  <si>
    <t>{V}导光束/光纤转接机构</t>
    <phoneticPr fontId="54" type="noConversion"/>
  </si>
  <si>
    <t>如何要求我司转接座默认旋帽</t>
    <phoneticPr fontId="54" type="noConversion"/>
  </si>
  <si>
    <t>是否指定导光束/光纤转接座材料及表面工艺</t>
    <phoneticPr fontId="54" type="noConversion"/>
  </si>
  <si>
    <t>是否指定导光束/光纤转接座尺寸形状</t>
    <phoneticPr fontId="54" type="noConversion"/>
  </si>
  <si>
    <t>是否指定导光束/光纤转接座外观颜色</t>
    <phoneticPr fontId="54" type="noConversion"/>
  </si>
  <si>
    <t>转接座外观颜色要求</t>
    <phoneticPr fontId="54" type="noConversion"/>
  </si>
  <si>
    <t>导光束/光纤转接座包装要求</t>
    <phoneticPr fontId="54" type="noConversion"/>
  </si>
  <si>
    <t>导光束/光纤转接座是否要求插拔检测功能</t>
    <phoneticPr fontId="54" type="noConversion"/>
  </si>
  <si>
    <t>填写客户对转接座如何检测导光束/光纤的要求，可附上必要的文档说明。</t>
    <phoneticPr fontId="54" type="noConversion"/>
  </si>
  <si>
    <t>导光束/光纤{V}</t>
    <phoneticPr fontId="54" type="noConversion"/>
  </si>
  <si>
    <t/>
  </si>
  <si>
    <t>无条件</t>
    <phoneticPr fontId="54" type="noConversion"/>
  </si>
  <si>
    <t>单位提示：lm、%</t>
    <phoneticPr fontId="54" type="noConversion"/>
  </si>
  <si>
    <t>单位提示：mW、%</t>
    <phoneticPr fontId="54" type="noConversion"/>
  </si>
  <si>
    <t>单位提示：cd、%</t>
    <phoneticPr fontId="54" type="noConversion"/>
  </si>
  <si>
    <t>公差占位提示内容</t>
    <phoneticPr fontId="54" type="noConversion"/>
  </si>
  <si>
    <t>单位提示：mW</t>
    <phoneticPr fontId="54" type="noConversion"/>
  </si>
  <si>
    <t>单位提示：%</t>
    <phoneticPr fontId="54" type="noConversion"/>
  </si>
  <si>
    <t>单位提示：mW/sr、%</t>
    <phoneticPr fontId="54" type="noConversion"/>
  </si>
  <si>
    <t>单位提示：Lux、%</t>
    <phoneticPr fontId="54" type="noConversion"/>
  </si>
  <si>
    <t>单位提示：mW/cm²、%</t>
    <phoneticPr fontId="54" type="noConversion"/>
  </si>
  <si>
    <t>单位提示：cd/m²、%</t>
    <phoneticPr fontId="54" type="noConversion"/>
  </si>
  <si>
    <t>填写客户要求的相对湿度（RH）上下限，一般用百分比表示，如RH60%~RH90%。</t>
    <phoneticPr fontId="54" type="noConversion"/>
  </si>
  <si>
    <t>单位提示：N</t>
    <phoneticPr fontId="54" type="noConversion"/>
  </si>
  <si>
    <t>{V}加测50%亮度档（标准默认同100%亮度档）</t>
    <phoneticPr fontId="54" type="noConversion"/>
  </si>
  <si>
    <t>填写客户提供了多少项输入，包括各项要求、资料。</t>
    <phoneticPr fontId="54" type="noConversion"/>
  </si>
  <si>
    <t>填写各项输入项内容，或写明引用的文件编号，如：3D模型详见引用2。</t>
    <phoneticPr fontId="54" type="noConversion"/>
  </si>
  <si>
    <t>客户是否提供竞品或现有产品的实物或产品资料以供测试参考，可提高项目研发成功率。</t>
    <phoneticPr fontId="54" type="noConversion"/>
  </si>
  <si>
    <t>{V}竞品/现有产品参考</t>
    <phoneticPr fontId="54" type="noConversion"/>
  </si>
  <si>
    <t>该项目我司负责哪些功能模块的设计与生产，即我们卖什么？大部分产品全部选项均勾选。</t>
    <phoneticPr fontId="54" type="noConversion"/>
  </si>
  <si>
    <t>对于这款产品，我司扮演什么协作角色？如果是代工，需要获取该款产品代工所需资料。
如：2D工程图、3D模型图、BOM、装配作业指导书、特殊工艺要求、成品检验标准、测试规范说明、成品样机、包装规范等。</t>
    <phoneticPr fontId="54" type="noConversion"/>
  </si>
  <si>
    <t>询问客户我司产品在终端用户使用时，会不会被用户看到。
如果有外露部分，外观部件有无外观品质要求，需要跟客户仔细确定，可附文件说明技术要求。</t>
    <phoneticPr fontId="54" type="noConversion"/>
  </si>
  <si>
    <t xml:space="preserve">填写产品工作时，可能出现的姿态，可以有多种不同姿态，主要用于评估重力对机构、散热、振动等可靠性的影响。
如：出光口水平输出/垂直向下输出/垂直向上输出。
</t>
    <phoneticPr fontId="54" type="noConversion"/>
  </si>
  <si>
    <t>产品是否需要与导光束进行协同，不管这个导光束或转接座是否由我司提供，只要产品需要与导光束协同，均属涉及。</t>
    <phoneticPr fontId="54" type="noConversion"/>
  </si>
  <si>
    <t>填写客户使用或要求的导光束/光纤 输入端 通光口径，注意是“透光”部分，如：Φ5mm。</t>
    <phoneticPr fontId="54" type="noConversion"/>
  </si>
  <si>
    <t>填写客户使用或要求的导光束/光纤 输出端 通光口径的要求，注意是“透光”部分，如：Φ4.8mm。</t>
    <phoneticPr fontId="54" type="noConversion"/>
  </si>
  <si>
    <t>填写与产品协同的导光束/光纤的NA值，如：0.62、0.42、0.22。</t>
    <phoneticPr fontId="54" type="noConversion"/>
  </si>
  <si>
    <t>头端规格品牌类型如：Wolf、Storz、Olympus，注意每种品牌里可能有多种规格型号；
如果需要我司负责设计固定导光束/光纤，则需要提供：与产品有配合一端（输入/输出端）的详尽尺寸，建议提供图纸；
如果使用特定导光束/光纤进行产品测试或集成到产品里，则需要提供：完整尺寸（包括头端尺寸、长度尺寸），建议提供图纸。</t>
    <phoneticPr fontId="54" type="noConversion"/>
  </si>
  <si>
    <t>填写具体指定搭配的转接座型号，可在项目总表格里查RFAD系列进行挑选。</t>
    <phoneticPr fontId="54" type="noConversion"/>
  </si>
  <si>
    <t>我司转接座默认有旋帽，转接座装到客户机箱上以后，旋帽会外露在机箱面板前，
询问客户用我司默认旋帽、还是自己做、还是定制。</t>
    <phoneticPr fontId="54" type="noConversion"/>
  </si>
  <si>
    <t>填写客户对转接座旋帽形状尺寸、表面工艺的要求，最好附上图纸说明。</t>
    <phoneticPr fontId="54" type="noConversion"/>
  </si>
  <si>
    <t>填写客户对转接座形状尺寸的定制要求，最好附上图纸说明。</t>
    <phoneticPr fontId="54" type="noConversion"/>
  </si>
  <si>
    <t>我司转接座材料及表面工艺默认：6061铝合金，100目喷砂，阳极氧化；
如果客户有其它要求的工艺，请选“是”。</t>
    <phoneticPr fontId="54" type="noConversion"/>
  </si>
  <si>
    <t>填写客户指定的具体材料或表面工艺要求，如：6061铝合金，100目喷砂，导电氧化。</t>
    <phoneticPr fontId="54" type="noConversion"/>
  </si>
  <si>
    <t>是否指定转接座外观颜色，不指定则我司默认在铝合金原色阳极氧化工艺下，外观看起来是银色的。</t>
    <phoneticPr fontId="54" type="noConversion"/>
  </si>
  <si>
    <t>我司导光束转接座头部旋帽默认会在内部点胶处理，防止松脱掉，
部分客户要求不点胶出货，他们自行装配后自己点胶。</t>
    <phoneticPr fontId="54" type="noConversion"/>
  </si>
  <si>
    <t>与客户协商好转接座与产品主体是否装一起发货，还是分拆配好螺丝客户自己装配，包括装箱方式。</t>
    <phoneticPr fontId="54" type="noConversion"/>
  </si>
  <si>
    <t>大部分荧光模组默认支持接近开关检测；
大部分单白光模组默认支持机械悬臂检测，也可定制为接近开关检测；
新项目需要检测的情况下推荐接近开关检测，或客户定制检测方案。</t>
    <phoneticPr fontId="54" type="noConversion"/>
  </si>
  <si>
    <t>导光束插拔影响哪些光源的亮灭？
使所有光源亮灭：拔出导光束所有光源灭，插入导光束所有光源马上亮；
其它情况选“有特殊逻辑”</t>
    <phoneticPr fontId="54" type="noConversion"/>
  </si>
  <si>
    <t>详细罗列客户指定的导光束插拔处理逻辑，例如：插拔只控制白光，激光不受影响。</t>
    <phoneticPr fontId="54" type="noConversion"/>
  </si>
  <si>
    <t>填写客户指定的导光束及测试参数，例如：客供3米导光束测：光通量，显色指数，抽检10%/全检；
其余未限定光参数，默认使用我司1M、Φ5、NA0.62导光束进行测试。</t>
    <phoneticPr fontId="54" type="noConversion"/>
  </si>
  <si>
    <t>我司默认使用自己的导光束头部治具做插拔拉力测试，鉴于头部尺寸偏差会影响测试结果，
如果客户对导光束插拔力要求较精确，则需要客户提供导光束做的生产拉力测试。</t>
    <phoneticPr fontId="54" type="noConversion"/>
  </si>
  <si>
    <t>填写产品有效照明直径要求，默认定义中心照度的90%为有效区域边缘，如：Φ2mm@中心照度90%。</t>
    <phoneticPr fontId="54" type="noConversion"/>
  </si>
  <si>
    <t>Φ2mm@中心照度90%</t>
    <phoneticPr fontId="54" type="noConversion"/>
  </si>
  <si>
    <t>产品是否需要输出多种光</t>
    <phoneticPr fontId="54" type="noConversion"/>
  </si>
  <si>
    <t>单位提示：us、ms、s</t>
    <phoneticPr fontId="54" type="noConversion"/>
  </si>
  <si>
    <t>填写产品在不同光色输出之间切换时的速度要求，如：≤200ms，无要求填写"无要求"。</t>
    <phoneticPr fontId="54" type="noConversion"/>
  </si>
  <si>
    <t>站在用户使用场景考虑，产品是否需要输出单色光；
注意RGB三个单色光源合白光输出，如果用户使用场景只用合白光模式，那就不算需要输出单色光；
例如：红光、绿光、紫光等。</t>
    <phoneticPr fontId="54" type="noConversion"/>
  </si>
  <si>
    <t>取名力求简单明了，如：蓝光、B光、450nm光等。</t>
    <phoneticPr fontId="54" type="noConversion"/>
  </si>
  <si>
    <t>特指需要在某些光参数方面做特定要求、由我司控制光源实现的混合光，客户通过单色光自由混合实现的除外;
如：某种特定峰值比的混合光，某种特殊色温的混白光。</t>
    <phoneticPr fontId="54" type="noConversion"/>
  </si>
  <si>
    <t>产品需要多少种白光或特定混合光输出</t>
    <phoneticPr fontId="54" type="noConversion"/>
  </si>
  <si>
    <t>如同一个产品，但需要输出不同色温的白光，一种色温算一种；输出不同峰值比的混合光，一种峰值比算一种。</t>
    <phoneticPr fontId="54" type="noConversion"/>
  </si>
  <si>
    <t>取名力求简单明了，例如：暖白光、冷白光，5500K白光、6500K白光、NBI混合光、LCI混合光等。</t>
    <phoneticPr fontId="54" type="noConversion"/>
  </si>
  <si>
    <t>填写该项要求的典型值（测试点）与公差范围，
典型值如：415nm（模组输出/我司1M导光束输出），
公差示例：±5nm，+0/-5nm，+5/-0nm；公差可填“无要求”。</t>
    <phoneticPr fontId="54" type="noConversion"/>
  </si>
  <si>
    <t>填写该项要求的典型值（测试点）与公差范围，
典型值如：405nm（模组输出/我司1M导光束输出），
公差示例：±5nm，+0/-5nm，+5/-0nm；公差可填“无要求”。</t>
    <phoneticPr fontId="54" type="noConversion"/>
  </si>
  <si>
    <t>填写该项要求的典型值（测试点）与公差范围，
典型值如：20nm（模组输出/我司1M导光束输出），
公差示例：±5nm，+0/-5nm，+5/-0nm；典型值与公差可填“无要求”。</t>
    <phoneticPr fontId="54" type="noConversion"/>
  </si>
  <si>
    <t>填写该项要求的典型值（测试点）与公差范围，
典型值如：550lm（模组输出/我司1M导光束输出），
公差示例：±10%，+0/-10%，+10%/-0。</t>
    <phoneticPr fontId="54" type="noConversion"/>
  </si>
  <si>
    <t>填写该项要求的典型值（测试点）与公差范围，
典型值如：1000mW（模组输出/我司1M导光束输出），
公差示例：±10%，+0/-10%，+10%/-0。</t>
    <phoneticPr fontId="54" type="noConversion"/>
  </si>
  <si>
    <t>填写该项要求时，每一个值都应该对应一个测试点与工作距离，并注明公差，
如：10万Lux@距透镜顶点20mm平面所成光斑中心处，5万Lux@距导光束输出口25mm平面所成光斑中心处；
公差示例：±10%，+0/-10%，+10%/-0。</t>
    <phoneticPr fontId="54" type="noConversion"/>
  </si>
  <si>
    <t>填写该项要求时，每一个值都应该对应一个测试点、工作距离、角度，并注明公差，
如：100cd/m²@距透镜顶点20mm标准白板中心法线夹角0°；
公差示例：±10%，+0/-10%，+10%/-0。</t>
    <phoneticPr fontId="54" type="noConversion"/>
  </si>
  <si>
    <t>填写该项要求时，每一个值都应该对应一个测试点与工作距离，并注明公差，
如：100mW/cm²@距透镜顶点20mm平面所成光斑中心处，50mW/cm²@距导光束输出口25mm平面所成光斑中心处；
公差示例：±10%，+0/-10%，+10%/-0。</t>
    <phoneticPr fontId="54" type="noConversion"/>
  </si>
  <si>
    <t>填写该项要求时，每一个值都应该对应一个测试点与工作距离，并注明公差，
如：Φ100mm@距透镜顶点20mm平面处，20X50mm@距导光束输出口25mm平面处；
公差示例：±10mm，+0/-10mm，+10mm/-0。</t>
    <phoneticPr fontId="54" type="noConversion"/>
  </si>
  <si>
    <t>填写该项要求时，每一个值都应该对应一个测试点与工作距离，
如：0.85@距透镜顶点20mm平面处，20X50mm@距导光束输出口25mm平面处；
我司均匀性默认定义为平面照度分布的50%峰值构成的区域尺寸与10%峰值构成的区域尺寸的比值，即D50/D10。
客户有特殊定义的，还需写明均匀性定义或计算公式，如：有效区域内最小值/最大值；</t>
    <phoneticPr fontId="54" type="noConversion"/>
  </si>
  <si>
    <t>单位提示：mW/sr</t>
    <phoneticPr fontId="54" type="noConversion"/>
  </si>
  <si>
    <t>填写该项要求的典型值@测试点与公差范围，
典型值如：500cd@模组输出法线方向、500cd@我司1M导光束输出法线10°方向；
公差示例：±10%，+0/-10%，+10%/-0。</t>
    <phoneticPr fontId="54" type="noConversion"/>
  </si>
  <si>
    <t>填写该项要求的典型值@测试点与公差范围，
典型值如：500mW/sr@模组输出法线方向、500mW/sr@我司1M导光束输出法线10°方向；
公差示例：±10%，+0/-10%，+10%/-0。</t>
    <phoneticPr fontId="54" type="noConversion"/>
  </si>
  <si>
    <t>填写该项要求的典型值（测试点）与公差范围，注意光束全角指的是光强为法线光强的50%处、法线两边形成的夹角，
典型值如：50°（模组输出）、70°（客供导光束输出）；
公差示例：±5°，+0/-5°，+5°/-0。</t>
    <phoneticPr fontId="54" type="noConversion"/>
  </si>
  <si>
    <t>填写该项要求的典型值（测试点）与公差范围，注意光束全角指的是光强为法线光强的10%处、法线两边形成的夹角，
典型值如：50°（模组输出）、70°（客供导光束输出）；
公差示例：±5°，+0/-5°，+5°/-0。</t>
    <phoneticPr fontId="54" type="noConversion"/>
  </si>
  <si>
    <t>填写该项要求的典型值（测试点）与公差范围，
典型值如：5500K（模组输出），5000K（我司1M导光束输出）；
公差示例：±500K，+0/-500K，+500K/-0。</t>
    <phoneticPr fontId="54" type="noConversion"/>
  </si>
  <si>
    <t>光斑均匀性要求：[{K}：≥{V}]</t>
    <phoneticPr fontId="54" type="noConversion"/>
  </si>
  <si>
    <t>产品物料成本限制：≤{V}</t>
    <phoneticPr fontId="54" type="noConversion"/>
  </si>
  <si>
    <t>CRI显指Ra要求：[{K}≥{V}]</t>
    <phoneticPr fontId="54" type="noConversion"/>
  </si>
  <si>
    <t>CRI显指R9要求：[{K}≥{V}]</t>
    <phoneticPr fontId="54" type="noConversion"/>
  </si>
  <si>
    <t>填写该项要求的下限值（测试点），如：90（我司1M导光束输出）。</t>
    <phoneticPr fontId="54" type="noConversion"/>
  </si>
  <si>
    <t>填写该项要求的合格范围（测试点），注意该项定义的是CIE 1931 xy 色度图坐标，
通常为一个平面范围，意味着需要四个色坐标点来定义合格范围；或者一个中心色坐标点加上一个椭圆范围；
如：(0.3,0.3)&amp;(0.4,0.32)&amp;(0.4,0.37)&amp;(0.3,0.35)。</t>
    <phoneticPr fontId="54" type="noConversion"/>
  </si>
  <si>
    <t>填写该项要求的合格范围（测试点），注意该项定义的是CIE 1960 uv 色度图坐标，
通常为一个平面范围，意味着需要四个色坐标点来定义合格范围；或者一个中心色坐标点加上一个椭圆范围。
如：(0.3,0.3)&amp;(0.4,0.32)&amp;(0.4,0.37)&amp;(0.3,0.35)。</t>
    <phoneticPr fontId="54" type="noConversion"/>
  </si>
  <si>
    <t>填写该项要求的典型值（测试点）与公差范围，
典型值如：红:绿:蓝=1:0.5:0.3；
公差示例：±10%，+0/-10%，+10%/-0</t>
    <phoneticPr fontId="54" type="noConversion"/>
  </si>
  <si>
    <t>填写该项要求的上限值（测试点）；推荐YY1081-2011标准上限6mW/lm，
如：6mW/lm</t>
    <phoneticPr fontId="54" type="noConversion"/>
  </si>
  <si>
    <t>红外截止性能要求：[{K}≤{V}]</t>
    <phoneticPr fontId="54" type="noConversion"/>
  </si>
  <si>
    <t>填写该项要求的上限值，客户要求≤0.5则我司部分产品不满足，
如：1、0.8、0.525。</t>
    <phoneticPr fontId="54" type="noConversion"/>
  </si>
  <si>
    <t>光照均匀性要求：[{K}≤{V}]</t>
    <phoneticPr fontId="54" type="noConversion"/>
  </si>
  <si>
    <t>照度超限点要求：[{K}≤{V}]</t>
    <phoneticPr fontId="54" type="noConversion"/>
  </si>
  <si>
    <t>填写该项要求的上限值；推荐YY1081-2011标准上限值2，
如：2。</t>
    <phoneticPr fontId="54" type="noConversion"/>
  </si>
  <si>
    <t>填写客户要求的温度范围上下限，如-20℃~45℃。</t>
    <phoneticPr fontId="54" type="noConversion"/>
  </si>
  <si>
    <t>单位提示：dB(A)</t>
    <phoneticPr fontId="54" type="noConversion"/>
  </si>
  <si>
    <t>填写客户要求的噪声上限值，如55dB(A)。</t>
    <phoneticPr fontId="54" type="noConversion"/>
  </si>
  <si>
    <t>产品工作时外表面温度/温升上限：{V}</t>
    <phoneticPr fontId="54" type="noConversion"/>
  </si>
  <si>
    <t>填写客户要求的防护等级，如：IP65。</t>
    <phoneticPr fontId="54" type="noConversion"/>
  </si>
  <si>
    <t>填写产品重量上限值，如：20kg、200g。</t>
    <phoneticPr fontId="54" type="noConversion"/>
  </si>
  <si>
    <t>尽量与客户做清晰的约定，影响产品散热设计考虑，最终影响产品整体尺寸。</t>
    <phoneticPr fontId="54" type="noConversion"/>
  </si>
  <si>
    <t>尽量与客户做清晰的约定。</t>
    <phoneticPr fontId="54" type="noConversion"/>
  </si>
  <si>
    <t>尽量与客户做清晰的约定，过低的噪声上限将限制风扇转速，间接影响散热设计。</t>
    <phoneticPr fontId="54" type="noConversion"/>
  </si>
  <si>
    <t>产品长时间工作，外表面稳定住的温度或相对于环境温度的温度升幅，散热设计需要该指标。</t>
    <phoneticPr fontId="54" type="noConversion"/>
  </si>
  <si>
    <t>填写客户要求的外表面温度@环境温度或温升上限值，
如：+15℃，45℃@环境温度30℃。</t>
    <phoneticPr fontId="54" type="noConversion"/>
  </si>
  <si>
    <t>指防固体异物、液体进入的能力，即常说的防尘防水等级。</t>
    <phoneticPr fontId="54" type="noConversion"/>
  </si>
  <si>
    <t>选“是”则需要附图纸或图片说明，选“否”将由我司设计后提供图纸给客户。</t>
    <phoneticPr fontId="54" type="noConversion"/>
  </si>
  <si>
    <t>选“是”则需要附图纸或图片说明，选“否”将由我司自行决定风道设计，即进出风方向。</t>
    <phoneticPr fontId="54" type="noConversion"/>
  </si>
  <si>
    <t>我司默认产品颜色主要为黑色，部分参照老产品的外观颜色会是金色。</t>
    <phoneticPr fontId="54" type="noConversion"/>
  </si>
  <si>
    <t>颜色需客户提供色号或色样（实物样品），并限定色差范围，
提供色号直接填色号代码，提供色样填写“提供色样”，销售负责跟进色样给研发部。</t>
    <phoneticPr fontId="54" type="noConversion"/>
  </si>
  <si>
    <t>是否在产品外表或面板上物理呈现客户指定Logo，如：丝印、镭雕。</t>
    <phoneticPr fontId="54" type="noConversion"/>
  </si>
  <si>
    <t>请说明指定的Logo技术要求，包括位置、尺寸、设计图样、颜色、工艺等，可附文件说明。</t>
    <phoneticPr fontId="54" type="noConversion"/>
  </si>
  <si>
    <t>产品面板上通常有操作控制用的按钮、旋钮、接口，
这些部件下方通常需要一些提示内容或图标，客户是否指定。</t>
    <phoneticPr fontId="54" type="noConversion"/>
  </si>
  <si>
    <t>填写面板界面菜单内容与工艺技术要求，包括位置、尺寸、内容、设计图样、颜色、工艺等，可附文件说明。</t>
    <phoneticPr fontId="54" type="noConversion"/>
  </si>
  <si>
    <t>请详细说明指定的表面处理工艺要求，如：导电氧化、局部去氧化层。</t>
    <phoneticPr fontId="54" type="noConversion"/>
  </si>
  <si>
    <t>限制产品重量，则研发设计时将权衡零部件数量、材料选择、部件尺寸等，设计难度增加。</t>
    <phoneticPr fontId="54" type="noConversion"/>
  </si>
  <si>
    <t>灯头上携带的线材、驱动板输出的配线，我司有常规使用的连接器规格、线长与颜色，看客户是否作具体定制要求。</t>
    <phoneticPr fontId="54" type="noConversion"/>
  </si>
  <si>
    <t>是否指定散热器的类型、尺寸。数量？如：铝型材散热器、铜管散热器、压铸铝合金散热器等。</t>
    <phoneticPr fontId="54" type="noConversion"/>
  </si>
  <si>
    <t>填写客户指定的标签格式、内容、粘贴位置、材质、颜色、工艺等，可附图纸说明。</t>
    <phoneticPr fontId="54" type="noConversion"/>
  </si>
  <si>
    <t>是否限制产品工作时的功耗上限值，通常出现在客户整机系统功率分配已经计划好，且不好不愿调整。</t>
    <phoneticPr fontId="54" type="noConversion"/>
  </si>
  <si>
    <t>填写具体功耗上限值，如：200W。</t>
    <phoneticPr fontId="54" type="noConversion"/>
  </si>
  <si>
    <t>选“是”则需要附图纸或图片说明，选“否”则由我司自行设计后发图纸给客户确定。</t>
    <phoneticPr fontId="54" type="noConversion"/>
  </si>
  <si>
    <t>是否指定驱动板使用某种类型的接口、某个特定的接口型号规格？</t>
    <phoneticPr fontId="54" type="noConversion"/>
  </si>
  <si>
    <t>填写客户以太网技术要求，如：IP地址分配、通讯端口、协议类型等，
或填"无"，或提交详细说明文档。</t>
    <phoneticPr fontId="54" type="noConversion"/>
  </si>
  <si>
    <t>填写客户CAN技术要求，如：波特率(250kbps/500kbps)、协议层、终端电阻等，
或填"无"，或提交详细说明文档。</t>
    <phoneticPr fontId="54" type="noConversion"/>
  </si>
  <si>
    <t>填写客户电位器调光技术要求，如：信号类型(0~5V/0~10V/4~20mA)、
对应关系(正反逻辑)等，或填"无"，或提交详细说明文档。</t>
    <phoneticPr fontId="54" type="noConversion"/>
  </si>
  <si>
    <t>填写客户提出的其它串口通讯技术要求，如：接口定义、数据格式、隔离要求等，
或填"无"，或提交详细说明文档。</t>
    <phoneticPr fontId="54" type="noConversion"/>
  </si>
  <si>
    <t>填写客户PWM调光技术要求，如：电平标准、有效极性、频率、占空比、触发边缘等，
或填"无"，或提交详细说明文档。</t>
    <phoneticPr fontId="54" type="noConversion"/>
  </si>
  <si>
    <t>填写客户外部触发技术要求，如：电平标准、有效极性、频率、占空比、触发边缘等，
或填"无"，或提交详细说明文档。</t>
    <phoneticPr fontId="54" type="noConversion"/>
  </si>
  <si>
    <t>填写客户IIC模式技术要求，如：电平电压、地址、上拉电阻、速率等，或填"无"，
或提交详细说明文档。</t>
    <phoneticPr fontId="54" type="noConversion"/>
  </si>
  <si>
    <t>填写客户SPI模式技术要求，如：模式、信号线数量、驱动能力等，或填"无"，或提交详细说明文档。</t>
    <phoneticPr fontId="54" type="noConversion"/>
  </si>
  <si>
    <t>填写客户按键开关/踏板模式技术要求，
如：触点逻辑(常开/常闭)、动作类型(点动复位/自锁)、选型规格等，或填"无"，或提交详细说明文档。</t>
    <phoneticPr fontId="54" type="noConversion"/>
  </si>
  <si>
    <t>填写客户编码器技术要求，
如：编码器类型(增量式/绝对值)、分辨率(脉冲数)、输出电路形式(集电极开路/推挽输出/差分驱动)、是否带开关按键等，
或填"无"，或提交详细说明文档。</t>
    <phoneticPr fontId="54" type="noConversion"/>
  </si>
  <si>
    <t>填写触控屏技术要求，如：触摸类型(电容屏/电阻屏)、显示接口、通信接口、选型规格等，
或填"无"，或提交详细说明文档。</t>
    <phoneticPr fontId="54" type="noConversion"/>
  </si>
  <si>
    <t>详细说明产品状态显示/UI设计要求与逻辑要求。必要时附上说明文档。</t>
    <phoneticPr fontId="54" type="noConversion"/>
  </si>
  <si>
    <t>是否在批量供货时提供电源或信号等输入配线、还是客户自备。</t>
    <phoneticPr fontId="54" type="noConversion"/>
  </si>
  <si>
    <t>填写具体调光范围要求，如：5%~100%。</t>
    <phoneticPr fontId="54" type="noConversion"/>
  </si>
  <si>
    <t>填写具体调光步距要求，如：1%。</t>
    <phoneticPr fontId="54" type="noConversion"/>
  </si>
  <si>
    <t>填写具体校正逻辑功能要求，说明校正场景。</t>
    <phoneticPr fontId="54" type="noConversion"/>
  </si>
  <si>
    <t>选择校正功能是以只提供软件系统的方式交付，异或还需要制作配套治具一并交付。</t>
    <phoneticPr fontId="54" type="noConversion"/>
  </si>
  <si>
    <t>是否要求产品具备频闪/脉冲形式的输出功能？</t>
    <phoneticPr fontId="54" type="noConversion"/>
  </si>
  <si>
    <t>具体认证测试启动由销售发起，研发部负责技术判断与草稿审核，采购负责跟进获证。</t>
    <phoneticPr fontId="54" type="noConversion"/>
  </si>
  <si>
    <t>在产品ESD(静电放电)方面，客户有没有要求，ESD要求产品按照特定速率释放静电，
产品如果是金属外壳，则需要喷涂半导涂层，塑料外壳则需要使用半导特性的塑料；成本均比普通产品高。</t>
    <phoneticPr fontId="54" type="noConversion"/>
  </si>
  <si>
    <t>被动散热</t>
    <phoneticPr fontId="54" type="noConversion"/>
  </si>
  <si>
    <t>主动散热</t>
    <phoneticPr fontId="54" type="noConversion"/>
  </si>
  <si>
    <t>产品能否使用主动散热</t>
    <phoneticPr fontId="54" type="noConversion"/>
  </si>
  <si>
    <t>被动散热</t>
    <phoneticPr fontId="54" type="noConversion"/>
  </si>
  <si>
    <t xml:space="preserve">我司大部分产品使用风扇进行主动散热，客户没有强调不能使用风扇来散热，或明确产品只能被动散热，则默认选主动散热，
只有部分尺寸过小、热功率很小、为了避免风扇带来震动、产品接近患者患处怕引入灰尘的产品才使用被动散热。
</t>
    <phoneticPr fontId="54" type="noConversion"/>
  </si>
  <si>
    <t>产品可使用{V}方案</t>
    <phoneticPr fontId="54" type="noConversion"/>
  </si>
  <si>
    <t>产品只能用{V}方案</t>
    <phoneticPr fontId="54" type="noConversion"/>
  </si>
  <si>
    <t>产品需要输出哪些组合光模式</t>
    <phoneticPr fontId="54" type="noConversion"/>
  </si>
  <si>
    <t>产品输出组合光有：{V}</t>
    <phoneticPr fontId="54" type="noConversion"/>
  </si>
  <si>
    <t>填写产品工作时，需要输出的光有哪些组合模式，仅列明组合模式即可，光路设计上将考虑是否可实现；
如：白+785nm，白+415nm，R+G+B。</t>
    <phoneticPr fontId="54" type="noConversion"/>
  </si>
  <si>
    <t>导光束/光纤由{V}自备</t>
    <phoneticPr fontId="54" type="noConversion"/>
  </si>
  <si>
    <t>导光束/光纤外形尺寸信息/需求：{V}</t>
    <phoneticPr fontId="54" type="noConversion"/>
  </si>
  <si>
    <t>填写该项要求的典型值（测试点）与公差范围；推荐YY1081-2011标准默认公差±20%，
典型值如：0.75（模组输出）、0.75（我司1M导光束输出）；
公差示例：±20%。</t>
    <phoneticPr fontId="54" type="noConversion"/>
  </si>
  <si>
    <t>填写该项要求的典型值（测试点）与公差范围；推荐YY1081-2011标准默认公差±20%，
典型值如：1.25（模组输出）、1.25（我司1M导光束输出）；
公差示例：±20%。</t>
    <phoneticPr fontId="54" type="noConversion"/>
  </si>
  <si>
    <t>产品是否包含操控类器件</t>
    <phoneticPr fontId="54" type="noConversion"/>
  </si>
  <si>
    <t>产品供货时，是否包含控制操作时需要使用的器件，
例如：按钮、电位器、触摸屏等等。</t>
    <phoneticPr fontId="54" type="noConversion"/>
  </si>
  <si>
    <t>产品包含{V}操控类器件</t>
    <phoneticPr fontId="54" type="noConversion"/>
  </si>
  <si>
    <t>{V}操控类器件</t>
    <phoneticPr fontId="54" type="noConversion"/>
  </si>
  <si>
    <t>选择产品批量供货时装载或配套的操控类器件。</t>
    <phoneticPr fontId="54" type="noConversion"/>
  </si>
  <si>
    <t>是否指定操控类器件的选型规格参数</t>
    <phoneticPr fontId="54" type="noConversion"/>
  </si>
  <si>
    <t>是否指定控制操作类器件的具体规格型号。</t>
    <phoneticPr fontId="54" type="noConversion"/>
  </si>
  <si>
    <t>具体的操控类器件选型规格要求</t>
    <phoneticPr fontId="54" type="noConversion"/>
  </si>
  <si>
    <t>操控类器件规格要求：{V}</t>
    <phoneticPr fontId="54" type="noConversion"/>
  </si>
  <si>
    <t>产品是否包含显示类器件</t>
    <phoneticPr fontId="54" type="noConversion"/>
  </si>
  <si>
    <t>{V}显示类器件</t>
    <phoneticPr fontId="54" type="noConversion"/>
  </si>
  <si>
    <t>含操控类器件</t>
    <phoneticPr fontId="54" type="noConversion"/>
  </si>
  <si>
    <t>含显示类器件</t>
    <phoneticPr fontId="54" type="noConversion"/>
  </si>
  <si>
    <t>产品供货时，是否包含显示类器件，还是客户自备，如：指示灯、显示屏等等。</t>
    <phoneticPr fontId="54" type="noConversion"/>
  </si>
  <si>
    <t>产品包含以下哪些显示类器件</t>
    <phoneticPr fontId="54" type="noConversion"/>
  </si>
  <si>
    <t>产品包含{V}显示类器件</t>
    <phoneticPr fontId="54" type="noConversion"/>
  </si>
  <si>
    <t>选择产品批量供货时装载或配套的显示类器件。</t>
    <phoneticPr fontId="54" type="noConversion"/>
  </si>
  <si>
    <t>具体的显示类器件选型规格要求</t>
    <phoneticPr fontId="54" type="noConversion"/>
  </si>
  <si>
    <t>显示类器件规格要求：{V}</t>
    <phoneticPr fontId="54" type="noConversion"/>
  </si>
  <si>
    <t>详细列明指定的显示类器件规格信息，必要时提供器件规格书。</t>
    <phoneticPr fontId="54" type="noConversion"/>
  </si>
  <si>
    <t>产品包含以下哪些操控类器件</t>
    <phoneticPr fontId="54" type="noConversion"/>
  </si>
  <si>
    <t>操控类器件{V}</t>
    <phoneticPr fontId="54" type="noConversion"/>
  </si>
  <si>
    <t>填写具体规格型号要求，必要时附上器件图纸或规格书。</t>
    <phoneticPr fontId="54" type="noConversion"/>
  </si>
  <si>
    <t>选择用于产品功能状态显示的器件</t>
    <phoneticPr fontId="54" type="noConversion"/>
  </si>
  <si>
    <t>是否指定显示类器件的选型规格参数</t>
    <phoneticPr fontId="54" type="noConversion"/>
  </si>
  <si>
    <t>是否指定配套的显示类器件的具体规格型号。</t>
    <phoneticPr fontId="54" type="noConversion"/>
  </si>
  <si>
    <t>显示类器件{V}</t>
    <phoneticPr fontId="54" type="noConversion"/>
  </si>
  <si>
    <t>列明各操控类器件发货形式</t>
    <phoneticPr fontId="54" type="noConversion"/>
  </si>
  <si>
    <t>操控类器件发货形式：{V}</t>
    <phoneticPr fontId="54" type="noConversion"/>
  </si>
  <si>
    <t>列明各显示类器件发货形式</t>
    <phoneticPr fontId="54" type="noConversion"/>
  </si>
  <si>
    <t>显示类器件发货形式：{V}</t>
    <phoneticPr fontId="54" type="noConversion"/>
  </si>
  <si>
    <t>填写产品所含器件的发货形式，多个器件换行逐行添加；
如：显示屏：集成在产品主体上/显示屏：外置配件/数码管：外置配件。</t>
    <phoneticPr fontId="54" type="noConversion"/>
  </si>
  <si>
    <t>填写产品所含器件的发货形式，多个器件换行逐行添加；
如：触控屏：集成在产品主体上/触控屏：外置配件/电位器：外置配件。</t>
    <phoneticPr fontId="54" type="noConversion"/>
  </si>
  <si>
    <t>搭配设计</t>
    <phoneticPr fontId="54" type="noConversion"/>
  </si>
  <si>
    <t>指定现有型号</t>
    <phoneticPr fontId="54" type="noConversion"/>
  </si>
  <si>
    <t>指定</t>
    <phoneticPr fontId="54" type="noConversion"/>
  </si>
  <si>
    <t>设计</t>
    <phoneticPr fontId="54" type="noConversion"/>
  </si>
  <si>
    <t>选配</t>
    <phoneticPr fontId="54" type="noConversion"/>
  </si>
  <si>
    <t>指定现有</t>
    <phoneticPr fontId="54" type="noConversion"/>
  </si>
  <si>
    <t>{V}转接座</t>
    <phoneticPr fontId="54" type="noConversion"/>
  </si>
  <si>
    <t>根据客户反馈的导光束规格尺寸，结合我司产品灯头的特点，判断是否指定、搭配设计、选配转接座。</t>
    <phoneticPr fontId="54" type="noConversion"/>
  </si>
  <si>
    <t>DC5V</t>
    <phoneticPr fontId="54" type="noConversion"/>
  </si>
  <si>
    <t>5V</t>
    <phoneticPr fontId="54" type="noConversion"/>
  </si>
  <si>
    <t>红外对射检测</t>
    <phoneticPr fontId="54" type="noConversion"/>
  </si>
  <si>
    <t>红外对射</t>
    <phoneticPr fontId="54" type="noConversion"/>
  </si>
  <si>
    <t>红外对射检测类转接座</t>
    <phoneticPr fontId="54" type="noConversion"/>
  </si>
  <si>
    <t>模拟电压</t>
    <phoneticPr fontId="54" type="noConversion"/>
  </si>
  <si>
    <t>模拟电压模式技术要求</t>
    <phoneticPr fontId="54" type="noConversion"/>
  </si>
  <si>
    <t>模拟电压技术要求：{V}</t>
    <phoneticPr fontId="54" type="noConversion"/>
  </si>
  <si>
    <t>填写模拟电压技术要求，如：电压范围，或填"无"。</t>
    <phoneticPr fontId="54" type="noConversion"/>
  </si>
  <si>
    <t>波特率38400</t>
    <phoneticPr fontId="54" type="noConversion"/>
  </si>
  <si>
    <t>波特率57600</t>
    <phoneticPr fontId="54" type="noConversion"/>
  </si>
  <si>
    <t>代工产品各项输入内容</t>
    <phoneticPr fontId="54" type="noConversion"/>
  </si>
  <si>
    <t>{V}导光束做光参数测试</t>
    <phoneticPr fontId="54" type="noConversion"/>
  </si>
  <si>
    <t>使用指定导光束测的光参数：{V}</t>
    <phoneticPr fontId="54" type="noConversion"/>
  </si>
  <si>
    <t>是否指定测试报告格式与内容</t>
    <phoneticPr fontId="54" type="noConversion"/>
  </si>
  <si>
    <t>工艺+质量</t>
    <phoneticPr fontId="54" type="noConversion"/>
  </si>
  <si>
    <t>测试报告格式与内容要求：{V}</t>
    <phoneticPr fontId="54" type="noConversion"/>
  </si>
  <si>
    <t>客供导光束做转接座功能测试</t>
    <phoneticPr fontId="54" type="noConversion"/>
  </si>
  <si>
    <t>我司默认使用自己的导光束头部治具做插拔检测功能的可靠性出厂测试，鉴于头部尺寸偏差会影响测试结果，
如果客户的导光束比较特别，特别是转接座是接近开关式的，建议提供客供导光束做检测功能的可靠性出厂测试。</t>
    <phoneticPr fontId="54" type="noConversion"/>
  </si>
  <si>
    <t>使用{V}导光束做转接座检测功能可靠性出厂测试</t>
    <phoneticPr fontId="54" type="noConversion"/>
  </si>
  <si>
    <t>是否提供导光束做转接座检测功能可靠性出厂测试</t>
    <phoneticPr fontId="54" type="noConversion"/>
  </si>
  <si>
    <t>指定/提供</t>
    <phoneticPr fontId="54" type="noConversion"/>
  </si>
  <si>
    <t>产品做光参数测试时，是否指定或提供导光束来测，
不指定则默认使用我司1M、Φ5、NA0.62导光束进行测试，
双方使用不同导光束时，研发阶段最好进行光参数对标，避免后期批量合格认定不一致导致退货。</t>
    <phoneticPr fontId="54" type="noConversion"/>
  </si>
  <si>
    <t>一种光色输出</t>
    <phoneticPr fontId="54" type="noConversion"/>
  </si>
  <si>
    <t>如产品可输出单白光、又可输出单紫光、又可输出白+紫复合光，则选：是；
如产品只输出某一种光（白光、单色光、复合光），只输出一种就够了，则选：否。</t>
    <phoneticPr fontId="54" type="noConversion"/>
  </si>
  <si>
    <t>要求特定测试内容或格式</t>
    <phoneticPr fontId="54" type="noConversion"/>
  </si>
  <si>
    <t>对产品出厂测试报告的格式与内容无要求则写“无”，有要求则填写详细要求，模板有要求则附上报告模板。</t>
    <phoneticPr fontId="54" type="noConversion"/>
  </si>
  <si>
    <t>客户对产品的品质要求，特别是外观要求</t>
    <phoneticPr fontId="54" type="noConversion"/>
  </si>
  <si>
    <t>客户对产品的品质、外观要求：{V}</t>
    <phoneticPr fontId="54" type="noConversion"/>
  </si>
  <si>
    <t>尽量与客户确认对产品的品质要求、特别是外观品质要求，有则提交附件。
如无要求，公司默认按照《五金件检验规范 二级》与《驱动板二级外观检验标准》对零部件与驱动板进行管控。
规范文件存放位置：\\192.168.1.102\Server\质量部\ISO体系文件\广东百炼光ISO文件\三级文件\质量部</t>
    <phoneticPr fontId="5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</si>
</sst>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等线"/>
      <family val="2"/>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9"/>
      <name val="等线"/>
      <family val="3"/>
      <charset val="134"/>
      <scheme val="minor"/>
    </font>
    <font>
      <sz val="11"/>
      <color theme="1"/>
      <name val="微软雅黑"/>
      <family val="2"/>
      <charset val="134"/>
    </font>
    <font>
      <sz val="1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31">
    <xf numFmtId="0" fontId="0" fillId="0" borderId="0" xfId="0"/>
    <xf numFmtId="0" fontId="0" fillId="0" borderId="0" xfId="0" applyAlignment="1">
      <alignment horizontal="center" vertical="center"/>
    </xf>
    <xf numFmtId="0" fontId="52" fillId="0" borderId="0" xfId="0" applyNumberFormat="1" applyFont="1" applyAlignment="1">
      <alignment horizontal="center" vertical="center" wrapText="1"/>
    </xf>
    <xf numFmtId="0" fontId="55" fillId="0" borderId="0" xfId="0" applyNumberFormat="1" applyFont="1" applyAlignment="1">
      <alignment horizontal="center" vertical="center" wrapText="1"/>
    </xf>
    <xf numFmtId="0" fontId="56" fillId="0" borderId="0" xfId="0" applyFont="1" applyAlignment="1">
      <alignment horizontal="center" vertical="center" wrapText="1"/>
    </xf>
    <xf numFmtId="0" fontId="55" fillId="0" borderId="0" xfId="0" applyFont="1" applyAlignment="1">
      <alignment horizontal="center" vertical="center" wrapText="1"/>
    </xf>
    <xf numFmtId="49" fontId="43" fillId="0" borderId="0" xfId="0" applyNumberFormat="1" applyFont="1" applyAlignment="1">
      <alignment horizontal="center" vertical="center" wrapText="1"/>
    </xf>
    <xf numFmtId="49" fontId="55" fillId="0" borderId="0" xfId="0" applyNumberFormat="1" applyFont="1" applyAlignment="1">
      <alignment horizontal="center" vertical="center" wrapText="1"/>
    </xf>
    <xf numFmtId="0" fontId="50" fillId="0" borderId="0" xfId="0" applyNumberFormat="1" applyFont="1" applyAlignment="1">
      <alignment horizontal="center" vertical="center" wrapText="1"/>
    </xf>
    <xf numFmtId="49" fontId="51" fillId="0" borderId="0" xfId="0" applyNumberFormat="1" applyFont="1" applyAlignment="1">
      <alignment horizontal="center" vertical="center" wrapText="1"/>
    </xf>
    <xf numFmtId="0" fontId="50" fillId="0" borderId="0" xfId="0" applyFont="1" applyAlignment="1">
      <alignment horizontal="center" vertical="center" wrapText="1"/>
    </xf>
    <xf numFmtId="0" fontId="45" fillId="0" borderId="0" xfId="0" applyFont="1" applyAlignment="1">
      <alignment horizontal="center" vertical="center" wrapText="1"/>
    </xf>
    <xf numFmtId="0" fontId="43" fillId="0" borderId="0" xfId="0" applyFont="1" applyAlignment="1">
      <alignment horizontal="left" vertical="center" wrapText="1"/>
    </xf>
    <xf numFmtId="0" fontId="55" fillId="0" borderId="0" xfId="0" applyFont="1" applyAlignment="1">
      <alignment horizontal="left" vertical="center" wrapText="1"/>
    </xf>
    <xf numFmtId="0" fontId="43" fillId="0" borderId="0" xfId="0" applyFont="1" applyAlignment="1">
      <alignment horizontal="center" vertical="center" wrapText="1"/>
    </xf>
    <xf numFmtId="49" fontId="49" fillId="0" borderId="0" xfId="0" applyNumberFormat="1" applyFont="1" applyAlignment="1">
      <alignment horizontal="center" vertical="center" wrapText="1"/>
    </xf>
    <xf numFmtId="0" fontId="51" fillId="0" borderId="0" xfId="0" applyNumberFormat="1" applyFont="1" applyAlignment="1">
      <alignment horizontal="center" vertical="center" wrapText="1"/>
    </xf>
    <xf numFmtId="0" fontId="47" fillId="0" borderId="0" xfId="0" applyNumberFormat="1" applyFont="1" applyAlignment="1">
      <alignment horizontal="center" vertical="center" wrapText="1"/>
    </xf>
    <xf numFmtId="49" fontId="48" fillId="0" borderId="0" xfId="0" applyNumberFormat="1" applyFont="1" applyAlignment="1">
      <alignment horizontal="center" vertical="center" wrapText="1"/>
    </xf>
    <xf numFmtId="0" fontId="42" fillId="0" borderId="0" xfId="0" applyFont="1" applyAlignment="1">
      <alignment horizontal="left" vertical="center" wrapText="1"/>
    </xf>
    <xf numFmtId="49" fontId="42" fillId="0" borderId="0" xfId="0" applyNumberFormat="1" applyFont="1" applyAlignment="1">
      <alignment horizontal="center" vertical="center" wrapText="1"/>
    </xf>
    <xf numFmtId="0" fontId="42" fillId="0" borderId="0" xfId="0" applyFont="1" applyAlignment="1">
      <alignment horizontal="center" vertical="center" wrapText="1"/>
    </xf>
    <xf numFmtId="49" fontId="44" fillId="0" borderId="0" xfId="0" applyNumberFormat="1" applyFont="1" applyAlignment="1">
      <alignment horizontal="center" vertical="center" wrapText="1"/>
    </xf>
    <xf numFmtId="0" fontId="48" fillId="0" borderId="0" xfId="0" applyFont="1" applyAlignment="1">
      <alignment horizontal="center" vertical="center" wrapText="1"/>
    </xf>
    <xf numFmtId="0" fontId="49" fillId="0" borderId="0" xfId="0" applyFont="1" applyAlignment="1">
      <alignment horizontal="center" vertical="center" wrapText="1"/>
    </xf>
    <xf numFmtId="0" fontId="51" fillId="0" borderId="0" xfId="0" applyFont="1" applyAlignment="1">
      <alignment horizontal="center" vertical="center" wrapText="1"/>
    </xf>
    <xf numFmtId="0" fontId="48" fillId="0" borderId="0" xfId="0" applyFont="1" applyAlignment="1">
      <alignment horizontal="left" vertical="center" wrapText="1"/>
    </xf>
    <xf numFmtId="0" fontId="53" fillId="0" borderId="0" xfId="0" applyNumberFormat="1" applyFont="1" applyAlignment="1">
      <alignment horizontal="center" vertical="center" wrapText="1"/>
    </xf>
    <xf numFmtId="49" fontId="41" fillId="0" borderId="0" xfId="0" applyNumberFormat="1" applyFont="1" applyAlignment="1">
      <alignment horizontal="center" vertical="center" wrapText="1"/>
    </xf>
    <xf numFmtId="0" fontId="41" fillId="0" borderId="0" xfId="0" applyFont="1" applyAlignment="1">
      <alignment horizontal="center" vertical="center" wrapText="1"/>
    </xf>
    <xf numFmtId="0" fontId="40" fillId="0" borderId="0" xfId="0" applyNumberFormat="1" applyFont="1" applyAlignment="1">
      <alignment horizontal="center" vertical="center" wrapText="1"/>
    </xf>
    <xf numFmtId="0" fontId="39" fillId="0" borderId="0" xfId="0" applyNumberFormat="1" applyFont="1" applyAlignment="1">
      <alignment horizontal="center" vertical="center" wrapText="1"/>
    </xf>
    <xf numFmtId="0" fontId="39" fillId="0" borderId="0" xfId="0" applyFont="1" applyAlignment="1">
      <alignment horizontal="center" vertical="center" wrapText="1"/>
    </xf>
    <xf numFmtId="49" fontId="39" fillId="0" borderId="0" xfId="0" applyNumberFormat="1" applyFont="1" applyAlignment="1">
      <alignment horizontal="center" vertical="center" wrapText="1"/>
    </xf>
    <xf numFmtId="49" fontId="38" fillId="0" borderId="0" xfId="0" applyNumberFormat="1" applyFont="1" applyAlignment="1">
      <alignment horizontal="center" vertical="center" wrapText="1"/>
    </xf>
    <xf numFmtId="0" fontId="38" fillId="0" borderId="0" xfId="0" applyFont="1" applyAlignment="1">
      <alignment horizontal="center" vertical="center" wrapText="1"/>
    </xf>
    <xf numFmtId="0" fontId="38" fillId="0" borderId="0" xfId="0" applyFont="1" applyAlignment="1">
      <alignment horizontal="left" vertical="center" wrapText="1"/>
    </xf>
    <xf numFmtId="49" fontId="37" fillId="0" borderId="0" xfId="0" applyNumberFormat="1" applyFont="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left" vertical="center" wrapText="1"/>
    </xf>
    <xf numFmtId="49" fontId="36" fillId="0" borderId="0" xfId="0" applyNumberFormat="1"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NumberFormat="1" applyFont="1" applyAlignment="1">
      <alignment horizontal="center" vertical="center" wrapText="1"/>
    </xf>
    <xf numFmtId="0" fontId="38" fillId="0" borderId="0" xfId="0" applyNumberFormat="1" applyFont="1" applyAlignment="1">
      <alignment horizontal="center" vertical="center" wrapText="1"/>
    </xf>
    <xf numFmtId="0" fontId="49" fillId="0" borderId="0" xfId="0" applyNumberFormat="1" applyFont="1" applyAlignment="1">
      <alignment horizontal="center" vertical="center" wrapText="1"/>
    </xf>
    <xf numFmtId="0" fontId="42" fillId="0" borderId="0" xfId="0" applyNumberFormat="1" applyFont="1" applyAlignment="1">
      <alignment horizontal="center" vertical="center" wrapText="1"/>
    </xf>
    <xf numFmtId="0" fontId="41" fillId="0" borderId="0" xfId="0" applyNumberFormat="1" applyFont="1" applyAlignment="1">
      <alignment horizontal="center" vertical="center" wrapText="1"/>
    </xf>
    <xf numFmtId="0" fontId="48" fillId="0" borderId="0" xfId="0" applyNumberFormat="1" applyFont="1" applyAlignment="1">
      <alignment horizontal="center" vertical="center" wrapText="1"/>
    </xf>
    <xf numFmtId="0" fontId="37" fillId="0" borderId="0" xfId="0" applyNumberFormat="1" applyFont="1" applyAlignment="1">
      <alignment horizontal="center" vertical="center" wrapText="1"/>
    </xf>
    <xf numFmtId="0" fontId="35" fillId="0" borderId="0" xfId="0" applyFont="1" applyAlignment="1">
      <alignment horizontal="center" vertical="center" wrapText="1"/>
    </xf>
    <xf numFmtId="0" fontId="34" fillId="0" borderId="0" xfId="0" applyFont="1" applyAlignment="1">
      <alignment horizontal="center" vertical="center" wrapText="1"/>
    </xf>
    <xf numFmtId="0" fontId="33" fillId="0" borderId="0" xfId="0" applyFont="1" applyAlignment="1">
      <alignment horizontal="center" vertical="center" wrapText="1"/>
    </xf>
    <xf numFmtId="49" fontId="33" fillId="0" borderId="0" xfId="0" applyNumberFormat="1" applyFont="1" applyAlignment="1">
      <alignment horizontal="center" vertical="center" wrapText="1"/>
    </xf>
    <xf numFmtId="49" fontId="32" fillId="0" borderId="0" xfId="0" applyNumberFormat="1" applyFont="1" applyAlignment="1">
      <alignment horizontal="center" vertical="center" wrapText="1"/>
    </xf>
    <xf numFmtId="0" fontId="43" fillId="0" borderId="0" xfId="0" applyNumberFormat="1" applyFont="1" applyAlignment="1">
      <alignment horizontal="center" vertical="center" wrapText="1"/>
    </xf>
    <xf numFmtId="0" fontId="32" fillId="0" borderId="0" xfId="0" applyNumberFormat="1" applyFont="1" applyAlignment="1">
      <alignment horizontal="center" vertical="center" wrapText="1"/>
    </xf>
    <xf numFmtId="0" fontId="46" fillId="0" borderId="0" xfId="0" applyNumberFormat="1" applyFont="1" applyAlignment="1">
      <alignment horizontal="center" vertical="center" wrapText="1"/>
    </xf>
    <xf numFmtId="0" fontId="34" fillId="0" borderId="0" xfId="0" applyNumberFormat="1" applyFont="1" applyAlignment="1">
      <alignment horizontal="center" vertical="center" wrapText="1"/>
    </xf>
    <xf numFmtId="0" fontId="31" fillId="0" borderId="0" xfId="0" applyFont="1" applyAlignment="1">
      <alignment horizontal="center" vertical="center" wrapText="1"/>
    </xf>
    <xf numFmtId="49" fontId="31" fillId="0" borderId="0" xfId="0" applyNumberFormat="1" applyFont="1" applyAlignment="1">
      <alignment horizontal="center" vertical="center" wrapText="1"/>
    </xf>
    <xf numFmtId="49" fontId="30" fillId="0" borderId="0" xfId="0" applyNumberFormat="1" applyFont="1" applyAlignment="1">
      <alignment horizontal="center" vertical="center" wrapText="1"/>
    </xf>
    <xf numFmtId="0" fontId="29" fillId="0" borderId="0" xfId="0" applyFont="1" applyAlignment="1">
      <alignment horizontal="center" vertical="center" wrapText="1"/>
    </xf>
    <xf numFmtId="0" fontId="29" fillId="0" borderId="0" xfId="0" applyFont="1" applyAlignment="1">
      <alignment horizontal="left" vertical="center" wrapText="1"/>
    </xf>
    <xf numFmtId="0" fontId="29" fillId="0" borderId="0" xfId="0" applyNumberFormat="1" applyFont="1" applyAlignment="1">
      <alignment horizontal="center" vertical="center" wrapText="1"/>
    </xf>
    <xf numFmtId="0" fontId="28" fillId="0" borderId="0" xfId="0" applyFont="1" applyAlignment="1">
      <alignment horizontal="left" vertical="center" wrapText="1"/>
    </xf>
    <xf numFmtId="49" fontId="28" fillId="0" borderId="0" xfId="0" applyNumberFormat="1" applyFont="1" applyAlignment="1">
      <alignment horizontal="center" vertical="center" wrapText="1"/>
    </xf>
    <xf numFmtId="0" fontId="28" fillId="0" borderId="0" xfId="0" applyNumberFormat="1" applyFont="1" applyAlignment="1">
      <alignment horizontal="center" vertical="center" wrapText="1"/>
    </xf>
    <xf numFmtId="0" fontId="28" fillId="0" borderId="0" xfId="0" applyFont="1" applyAlignment="1">
      <alignment horizontal="center" vertical="center" wrapText="1"/>
    </xf>
    <xf numFmtId="49" fontId="27" fillId="0" borderId="0" xfId="0" applyNumberFormat="1" applyFont="1" applyAlignment="1">
      <alignment horizontal="center" vertical="center" wrapText="1"/>
    </xf>
    <xf numFmtId="0" fontId="27" fillId="0" borderId="0" xfId="0" applyFont="1" applyAlignment="1">
      <alignment horizontal="left" vertical="center" wrapText="1"/>
    </xf>
    <xf numFmtId="0" fontId="27" fillId="0" borderId="0" xfId="0" applyFont="1" applyAlignment="1">
      <alignment horizontal="center" vertical="center" wrapText="1"/>
    </xf>
    <xf numFmtId="0" fontId="27" fillId="0" borderId="0" xfId="0" applyNumberFormat="1" applyFont="1" applyAlignment="1">
      <alignment horizontal="center" vertical="center" wrapText="1"/>
    </xf>
    <xf numFmtId="0" fontId="35" fillId="0" borderId="0" xfId="0" applyNumberFormat="1" applyFont="1" applyFill="1" applyAlignment="1">
      <alignment horizontal="center" vertical="center" wrapText="1"/>
    </xf>
    <xf numFmtId="49" fontId="26" fillId="0" borderId="0" xfId="0" applyNumberFormat="1" applyFont="1" applyAlignment="1">
      <alignment horizontal="center" vertical="center" wrapText="1"/>
    </xf>
    <xf numFmtId="0" fontId="26" fillId="0" borderId="0" xfId="0" applyFont="1" applyAlignment="1">
      <alignment horizontal="center" vertical="center" wrapText="1"/>
    </xf>
    <xf numFmtId="0" fontId="26" fillId="0" borderId="0" xfId="0" applyNumberFormat="1" applyFont="1" applyAlignment="1">
      <alignment horizontal="center" vertical="center" wrapText="1"/>
    </xf>
    <xf numFmtId="0" fontId="25" fillId="0" borderId="0" xfId="0" applyNumberFormat="1" applyFont="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horizontal="left" vertical="center" wrapText="1"/>
    </xf>
    <xf numFmtId="0" fontId="24" fillId="0" borderId="0" xfId="0" applyFont="1" applyAlignment="1">
      <alignment horizontal="center" vertical="center" wrapText="1"/>
    </xf>
    <xf numFmtId="0" fontId="24" fillId="0" borderId="0" xfId="0" applyNumberFormat="1" applyFont="1" applyAlignment="1">
      <alignment horizontal="center" vertical="center" wrapText="1"/>
    </xf>
    <xf numFmtId="49" fontId="23" fillId="0" borderId="0" xfId="0" applyNumberFormat="1" applyFont="1" applyAlignment="1">
      <alignment horizontal="center" vertical="center" wrapText="1"/>
    </xf>
    <xf numFmtId="49" fontId="22" fillId="0" borderId="0" xfId="0" applyNumberFormat="1" applyFont="1" applyAlignment="1">
      <alignment horizontal="center" vertical="center" wrapText="1"/>
    </xf>
    <xf numFmtId="0" fontId="22" fillId="0" borderId="0" xfId="0" applyFont="1" applyAlignment="1">
      <alignment horizontal="left" vertical="center" wrapText="1"/>
    </xf>
    <xf numFmtId="0" fontId="22" fillId="0" borderId="0" xfId="0" applyFont="1" applyAlignment="1">
      <alignment horizontal="center" vertical="center" wrapText="1"/>
    </xf>
    <xf numFmtId="0" fontId="22" fillId="0" borderId="0" xfId="0" applyNumberFormat="1" applyFont="1" applyAlignment="1">
      <alignment horizontal="center" vertical="center" wrapText="1"/>
    </xf>
    <xf numFmtId="49" fontId="21" fillId="0" borderId="0" xfId="0" applyNumberFormat="1" applyFont="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horizontal="center" vertical="center" wrapText="1"/>
    </xf>
    <xf numFmtId="0" fontId="21" fillId="0" borderId="0" xfId="0" applyNumberFormat="1" applyFont="1" applyAlignment="1">
      <alignment horizontal="center" vertical="center" wrapText="1"/>
    </xf>
    <xf numFmtId="0" fontId="20" fillId="0" borderId="0" xfId="0" applyNumberFormat="1" applyFont="1" applyAlignment="1">
      <alignment horizontal="center" vertical="center" wrapText="1"/>
    </xf>
    <xf numFmtId="49" fontId="20" fillId="0" borderId="0" xfId="0" applyNumberFormat="1" applyFont="1" applyAlignment="1">
      <alignment horizontal="center" vertical="center" wrapText="1"/>
    </xf>
    <xf numFmtId="0" fontId="19" fillId="0" borderId="0" xfId="0" applyFont="1" applyAlignment="1">
      <alignment horizontal="left" vertical="center" wrapText="1"/>
    </xf>
    <xf numFmtId="0" fontId="18" fillId="0" borderId="0" xfId="0" applyFont="1" applyAlignment="1">
      <alignment horizontal="center" vertical="center" wrapText="1"/>
    </xf>
    <xf numFmtId="49" fontId="18" fillId="0" borderId="0" xfId="0" applyNumberFormat="1" applyFont="1" applyAlignment="1">
      <alignment horizontal="center" vertical="center" wrapText="1"/>
    </xf>
    <xf numFmtId="0" fontId="18" fillId="0" borderId="0" xfId="0" applyFont="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16" fillId="0" borderId="0" xfId="0" applyFont="1" applyAlignment="1">
      <alignment horizontal="left" vertical="center" wrapText="1"/>
    </xf>
    <xf numFmtId="49" fontId="16" fillId="0" borderId="0" xfId="0" applyNumberFormat="1" applyFont="1" applyAlignment="1">
      <alignment horizontal="center" vertical="center" wrapText="1"/>
    </xf>
    <xf numFmtId="0"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49" fontId="13"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0" fontId="12" fillId="0" borderId="0" xfId="0" applyFont="1" applyAlignment="1">
      <alignment horizontal="left" vertical="center" wrapText="1"/>
    </xf>
    <xf numFmtId="49" fontId="11" fillId="0" borderId="0" xfId="0" applyNumberFormat="1" applyFont="1" applyAlignment="1">
      <alignment horizontal="center" vertical="center" wrapText="1"/>
    </xf>
    <xf numFmtId="49" fontId="10" fillId="0" borderId="0" xfId="0" applyNumberFormat="1" applyFont="1" applyAlignment="1">
      <alignment horizontal="center" vertical="center" wrapText="1"/>
    </xf>
    <xf numFmtId="49" fontId="24" fillId="0" borderId="0" xfId="0" applyNumberFormat="1" applyFont="1" applyAlignment="1">
      <alignment horizontal="center" vertical="center" wrapText="1"/>
    </xf>
    <xf numFmtId="49" fontId="9"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7" fillId="0" borderId="0" xfId="0" applyFont="1" applyAlignment="1">
      <alignment horizontal="center" vertical="center" wrapText="1"/>
    </xf>
    <xf numFmtId="49" fontId="6" fillId="0" borderId="0" xfId="0" applyNumberFormat="1" applyFont="1" applyAlignment="1">
      <alignment horizontal="center" vertical="center" wrapText="1"/>
    </xf>
    <xf numFmtId="0"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4" fillId="0" borderId="0" xfId="0" applyFont="1" applyAlignment="1">
      <alignment horizontal="left" vertical="center" wrapText="1"/>
    </xf>
    <xf numFmtId="49" fontId="3" fillId="0" borderId="0" xfId="0" applyNumberFormat="1" applyFont="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cellXfs>
  <cellStyles count="1">
    <cellStyle name="常规" xfId="0" builtinId="0"/>
  </cellStyles>
  <dxfs count="5">
    <dxf>
      <font>
        <color rgb="FF00B050"/>
      </font>
      <numFmt numFmtId="176" formatCode="0.00_ "/>
    </dxf>
    <dxf>
      <font>
        <color rgb="FFFF0000"/>
      </font>
      <numFmt numFmtId="176" formatCode="0.00_ "/>
    </dxf>
    <dxf>
      <fill>
        <patternFill>
          <bgColor rgb="FFFFFF00"/>
        </patternFill>
      </fill>
    </dxf>
    <dxf>
      <fill>
        <patternFill>
          <bgColor theme="5"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408"/>
  <sheetViews>
    <sheetView tabSelected="1" zoomScaleNormal="100" workbookViewId="0">
      <pane xSplit="5" ySplit="1" topLeftCell="F11" activePane="bottomRight" state="frozen"/>
      <selection pane="topRight" activeCell="F1" sqref="F1"/>
      <selection pane="bottomLeft" activeCell="A2" sqref="A2"/>
      <selection pane="bottomRight" activeCell="G22" sqref="G22"/>
    </sheetView>
  </sheetViews>
  <sheetFormatPr defaultRowHeight="15.6"/>
  <cols>
    <col min="1" max="1" width="6.33203125" style="3" customWidth="1"/>
    <col min="2" max="2" width="7.6640625" style="3" customWidth="1"/>
    <col min="3" max="3" width="18.6640625" style="3" customWidth="1"/>
    <col min="4" max="4" width="29.109375" style="4" customWidth="1"/>
    <col min="5" max="5" width="11.33203125" style="5" customWidth="1"/>
    <col min="6" max="6" width="9.21875" style="3" customWidth="1"/>
    <col min="7" max="7" width="21.6640625" style="5" customWidth="1"/>
    <col min="8" max="8" width="9.21875" style="5" customWidth="1"/>
    <col min="9" max="9" width="13.21875" style="7" customWidth="1"/>
    <col min="10" max="10" width="19.109375" style="7" customWidth="1"/>
    <col min="11" max="11" width="40" style="5" customWidth="1"/>
    <col min="12" max="12" width="8.21875" style="3" customWidth="1"/>
    <col min="13" max="13" width="16.77734375" style="3" customWidth="1"/>
    <col min="14" max="14" width="22.77734375" style="5" customWidth="1"/>
    <col min="15" max="15" width="11.21875" style="3" customWidth="1"/>
    <col min="16" max="16" width="11" style="3" customWidth="1"/>
    <col min="17" max="17" width="10.33203125" style="7" customWidth="1"/>
    <col min="18" max="18" width="117.21875" style="13" customWidth="1"/>
    <col min="19" max="19" width="22.6640625" style="5" customWidth="1"/>
    <col min="20" max="20" width="20.109375" style="5" customWidth="1"/>
    <col min="21" max="16384" width="8.88671875" style="5"/>
  </cols>
  <sheetData>
    <row r="1" spans="1:20" ht="31.2">
      <c r="A1" s="30" t="s">
        <v>251</v>
      </c>
      <c r="B1" s="31" t="s">
        <v>254</v>
      </c>
      <c r="C1" s="3" t="s">
        <v>50</v>
      </c>
      <c r="D1" s="4" t="s">
        <v>3</v>
      </c>
      <c r="E1" s="5" t="s">
        <v>4</v>
      </c>
      <c r="F1" s="54" t="s">
        <v>159</v>
      </c>
      <c r="G1" s="5" t="s">
        <v>0</v>
      </c>
      <c r="H1" s="79" t="s">
        <v>765</v>
      </c>
      <c r="I1" s="7" t="s">
        <v>51</v>
      </c>
      <c r="J1" s="52" t="s">
        <v>377</v>
      </c>
      <c r="K1" s="51" t="s">
        <v>376</v>
      </c>
      <c r="L1" s="72" t="s">
        <v>335</v>
      </c>
      <c r="M1" s="42" t="s">
        <v>338</v>
      </c>
      <c r="N1" s="5" t="s">
        <v>16</v>
      </c>
      <c r="O1" s="8" t="s">
        <v>127</v>
      </c>
      <c r="P1" s="8" t="s">
        <v>126</v>
      </c>
      <c r="Q1" s="9" t="s">
        <v>124</v>
      </c>
      <c r="R1" s="10" t="s">
        <v>123</v>
      </c>
      <c r="S1" s="77" t="s">
        <v>745</v>
      </c>
      <c r="T1" s="93" t="s">
        <v>863</v>
      </c>
    </row>
    <row r="2" spans="1:20" ht="31.2">
      <c r="A2" s="3">
        <v>1</v>
      </c>
      <c r="B2" s="3">
        <f>A2</f>
        <v>1</v>
      </c>
      <c r="C2" s="90" t="s">
        <v>859</v>
      </c>
      <c r="D2" s="4" t="s">
        <v>727</v>
      </c>
      <c r="E2" s="5" t="s">
        <v>5</v>
      </c>
      <c r="F2" s="46" t="s">
        <v>134</v>
      </c>
      <c r="G2" s="73" t="s">
        <v>592</v>
      </c>
      <c r="H2" s="80">
        <v>1</v>
      </c>
      <c r="I2" s="73" t="s">
        <v>728</v>
      </c>
      <c r="J2" s="73" t="s">
        <v>731</v>
      </c>
      <c r="K2" s="74" t="s">
        <v>734</v>
      </c>
      <c r="L2" s="42" t="s">
        <v>336</v>
      </c>
      <c r="M2" s="42" t="s">
        <v>337</v>
      </c>
      <c r="R2" s="97" t="s">
        <v>878</v>
      </c>
    </row>
    <row r="3" spans="1:20">
      <c r="A3" s="3" cm="1">
        <f t="array" aca="1" ref="A3" ca="1">INDIRECT("A"&amp;ROW()-1)</f>
        <v>1</v>
      </c>
      <c r="B3" s="3" t="s">
        <v>858</v>
      </c>
      <c r="F3" s="46" t="s">
        <v>134</v>
      </c>
      <c r="G3" s="73" t="s">
        <v>736</v>
      </c>
      <c r="H3" s="80">
        <v>2</v>
      </c>
      <c r="I3" s="73" t="s">
        <v>729</v>
      </c>
      <c r="J3" s="73" t="s">
        <v>729</v>
      </c>
      <c r="K3" s="74" t="s">
        <v>735</v>
      </c>
      <c r="L3" s="42"/>
      <c r="M3" s="42"/>
      <c r="N3" s="74" t="s">
        <v>732</v>
      </c>
    </row>
    <row r="4" spans="1:20">
      <c r="A4" s="3" cm="1">
        <f t="array" aca="1" ref="A4" ca="1">INDIRECT("A"&amp;ROW()-1)</f>
        <v>1</v>
      </c>
      <c r="B4" s="3" t="s">
        <v>858</v>
      </c>
      <c r="F4" s="55" t="str">
        <f>F2</f>
        <v>FALSE</v>
      </c>
      <c r="G4" s="73" t="s">
        <v>737</v>
      </c>
      <c r="H4" s="80">
        <v>3</v>
      </c>
      <c r="I4" s="73" t="s">
        <v>730</v>
      </c>
      <c r="J4" s="73" t="s">
        <v>730</v>
      </c>
      <c r="K4" s="74" t="s">
        <v>738</v>
      </c>
      <c r="L4" s="42"/>
      <c r="M4" s="42"/>
      <c r="N4" s="74" t="s">
        <v>733</v>
      </c>
    </row>
    <row r="5" spans="1:20">
      <c r="A5" s="3" cm="1">
        <f t="array" aca="1" ref="A5" ca="1">INDIRECT("A"&amp;ROW()-1)+1</f>
        <v>2</v>
      </c>
      <c r="B5" s="3">
        <v>2</v>
      </c>
      <c r="C5" s="75" t="str">
        <f>A2&amp;"==代工"</f>
        <v>1==代工</v>
      </c>
      <c r="D5" s="4" t="s">
        <v>739</v>
      </c>
      <c r="E5" s="68" t="s">
        <v>128</v>
      </c>
      <c r="F5" s="20" t="b">
        <v>0</v>
      </c>
      <c r="H5" s="80">
        <v>1</v>
      </c>
      <c r="I5" s="15" t="s">
        <v>129</v>
      </c>
      <c r="J5" s="15"/>
      <c r="K5" s="74" t="s">
        <v>740</v>
      </c>
      <c r="L5" s="44" t="str">
        <f>L2</f>
        <v>1</v>
      </c>
      <c r="M5" s="75" t="s">
        <v>337</v>
      </c>
      <c r="O5" s="16"/>
      <c r="P5" s="8"/>
      <c r="Q5" s="68"/>
      <c r="R5" s="97" t="s">
        <v>873</v>
      </c>
    </row>
    <row r="6" spans="1:20">
      <c r="A6" s="3" cm="1">
        <f t="array" aca="1" ref="A6" ca="1">INDIRECT("A"&amp;ROW()-1)+1</f>
        <v>3</v>
      </c>
      <c r="B6" s="3">
        <v>3</v>
      </c>
      <c r="C6" s="3" t="str">
        <f>A2&amp;"==代工"</f>
        <v>1==代工</v>
      </c>
      <c r="D6" s="4" t="s">
        <v>741</v>
      </c>
      <c r="E6" s="25" t="s">
        <v>144</v>
      </c>
      <c r="F6" s="56" t="s">
        <v>134</v>
      </c>
      <c r="H6" s="80">
        <v>1</v>
      </c>
      <c r="I6" s="15" t="s">
        <v>129</v>
      </c>
      <c r="J6" s="15"/>
      <c r="K6" s="74" t="s">
        <v>742</v>
      </c>
      <c r="L6" s="44" t="str">
        <f>L5</f>
        <v>1</v>
      </c>
      <c r="M6" s="42" t="s">
        <v>337</v>
      </c>
      <c r="O6" s="16">
        <f ca="1">A5</f>
        <v>2</v>
      </c>
      <c r="P6" s="16"/>
      <c r="Q6" s="9"/>
      <c r="R6" s="97" t="s">
        <v>743</v>
      </c>
    </row>
    <row r="7" spans="1:20">
      <c r="A7" s="3" cm="1">
        <f t="array" aca="1" ref="A7" ca="1">INDIRECT("A"&amp;ROW()-1)+1</f>
        <v>4</v>
      </c>
      <c r="B7" s="3">
        <v>4</v>
      </c>
      <c r="C7" s="3" t="str">
        <f>A2&amp;"==代工"</f>
        <v>1==代工</v>
      </c>
      <c r="D7" s="4" t="s">
        <v>1056</v>
      </c>
      <c r="E7" s="11" t="s">
        <v>145</v>
      </c>
      <c r="F7" s="45" t="s">
        <v>125</v>
      </c>
      <c r="H7" s="80">
        <v>1</v>
      </c>
      <c r="I7" s="15" t="s">
        <v>129</v>
      </c>
      <c r="J7" s="15"/>
      <c r="K7" s="77" t="s">
        <v>744</v>
      </c>
      <c r="L7" s="44" t="str">
        <f>L5</f>
        <v>1</v>
      </c>
      <c r="M7" s="71" t="s">
        <v>337</v>
      </c>
      <c r="O7" s="16">
        <f ca="1">A5</f>
        <v>2</v>
      </c>
      <c r="P7" s="8">
        <f ca="1">A6</f>
        <v>3</v>
      </c>
      <c r="Q7" s="9"/>
      <c r="R7" s="97" t="s">
        <v>874</v>
      </c>
    </row>
    <row r="8" spans="1:20">
      <c r="A8" s="3" cm="1">
        <f t="array" aca="1" ref="A8" ca="1">INDIRECT("A"&amp;ROW()-1)+1</f>
        <v>5</v>
      </c>
      <c r="B8" s="3">
        <v>5</v>
      </c>
      <c r="C8" s="3" t="str">
        <f>A2&amp;"!=代工"</f>
        <v>1!=代工</v>
      </c>
      <c r="D8" s="4" t="s">
        <v>7</v>
      </c>
      <c r="E8" s="5" t="s">
        <v>5</v>
      </c>
      <c r="F8" s="46" t="s">
        <v>134</v>
      </c>
      <c r="G8" s="5" t="s">
        <v>8</v>
      </c>
      <c r="H8" s="80">
        <v>1</v>
      </c>
      <c r="I8" s="7" t="s">
        <v>8</v>
      </c>
      <c r="J8" s="7" t="s">
        <v>8</v>
      </c>
      <c r="K8" s="32" t="s">
        <v>281</v>
      </c>
      <c r="L8" s="42" t="str">
        <f>L2</f>
        <v>1</v>
      </c>
      <c r="M8" s="42" t="s">
        <v>337</v>
      </c>
      <c r="N8" s="5" t="s">
        <v>8</v>
      </c>
      <c r="R8" s="12" t="s">
        <v>151</v>
      </c>
    </row>
    <row r="9" spans="1:20">
      <c r="A9" s="3" cm="1">
        <f t="array" aca="1" ref="A9" ca="1">INDIRECT("A"&amp;ROW()-1)</f>
        <v>5</v>
      </c>
      <c r="B9" s="3" t="s">
        <v>858</v>
      </c>
      <c r="F9" s="55" t="str">
        <f>F8</f>
        <v>FALSE</v>
      </c>
      <c r="G9" s="5" t="s">
        <v>9</v>
      </c>
      <c r="H9" s="80">
        <v>2</v>
      </c>
      <c r="I9" s="7" t="s">
        <v>9</v>
      </c>
      <c r="J9" s="7" t="s">
        <v>9</v>
      </c>
      <c r="K9" s="32" t="s">
        <v>281</v>
      </c>
      <c r="L9" s="42"/>
      <c r="M9" s="42"/>
      <c r="N9" s="5" t="s">
        <v>9</v>
      </c>
    </row>
    <row r="10" spans="1:20">
      <c r="A10" s="3" cm="1">
        <f t="array" aca="1" ref="A10" ca="1">INDIRECT("A"&amp;ROW()-1)+1</f>
        <v>6</v>
      </c>
      <c r="B10" s="3">
        <v>6</v>
      </c>
      <c r="C10" s="3" t="str">
        <f>A2&amp;"!=代工"</f>
        <v>1!=代工</v>
      </c>
      <c r="D10" s="4" t="s">
        <v>587</v>
      </c>
      <c r="E10" s="5" t="s">
        <v>5</v>
      </c>
      <c r="F10" s="45" t="s">
        <v>125</v>
      </c>
      <c r="G10" s="68" t="s">
        <v>588</v>
      </c>
      <c r="H10" s="80">
        <v>1</v>
      </c>
      <c r="I10" s="7" t="b">
        <v>1</v>
      </c>
      <c r="J10" s="91" t="s">
        <v>589</v>
      </c>
      <c r="K10" s="96" t="s">
        <v>876</v>
      </c>
      <c r="L10" s="42" t="str">
        <f>L2</f>
        <v>1</v>
      </c>
      <c r="M10" s="42" t="s">
        <v>337</v>
      </c>
      <c r="R10" s="97" t="s">
        <v>875</v>
      </c>
    </row>
    <row r="11" spans="1:20">
      <c r="A11" s="3" cm="1">
        <f t="array" aca="1" ref="A11" ca="1">INDIRECT("A"&amp;ROW()-1)</f>
        <v>6</v>
      </c>
      <c r="B11" s="3" t="s">
        <v>858</v>
      </c>
      <c r="F11" s="55" t="str">
        <f>F10</f>
        <v>TRUE</v>
      </c>
      <c r="G11" s="68" t="s">
        <v>534</v>
      </c>
      <c r="H11" s="80">
        <v>2</v>
      </c>
      <c r="I11" s="7" t="b">
        <v>0</v>
      </c>
      <c r="J11" s="68" t="s">
        <v>534</v>
      </c>
      <c r="K11" s="96" t="s">
        <v>876</v>
      </c>
      <c r="L11" s="42"/>
      <c r="M11" s="42"/>
    </row>
    <row r="12" spans="1:20">
      <c r="A12" s="3" cm="1">
        <f t="array" aca="1" ref="A12" ca="1">INDIRECT("A"&amp;ROW()-1)+1</f>
        <v>7</v>
      </c>
      <c r="B12" s="3">
        <v>7</v>
      </c>
      <c r="C12" s="3" t="str">
        <f>A2&amp;"!=代工"</f>
        <v>1!=代工</v>
      </c>
      <c r="D12" s="4" t="s">
        <v>10</v>
      </c>
      <c r="E12" s="5" t="s">
        <v>6</v>
      </c>
      <c r="F12" s="54" t="s">
        <v>134</v>
      </c>
      <c r="G12" s="82" t="s">
        <v>581</v>
      </c>
      <c r="H12" s="80">
        <v>1</v>
      </c>
      <c r="I12" s="68" t="s">
        <v>581</v>
      </c>
      <c r="J12" s="68" t="s">
        <v>581</v>
      </c>
      <c r="K12" s="32" t="s">
        <v>282</v>
      </c>
      <c r="L12" s="42" t="str">
        <f>L2</f>
        <v>1</v>
      </c>
      <c r="M12" s="42" t="s">
        <v>337</v>
      </c>
      <c r="N12" s="7"/>
      <c r="R12" s="97" t="s">
        <v>877</v>
      </c>
    </row>
    <row r="13" spans="1:20">
      <c r="A13" s="3" cm="1">
        <f t="array" aca="1" ref="A13" ca="1">INDIRECT("A"&amp;ROW()-1)</f>
        <v>7</v>
      </c>
      <c r="B13" s="3" t="s">
        <v>858</v>
      </c>
      <c r="F13" s="55" t="str">
        <f>F12</f>
        <v>FALSE</v>
      </c>
      <c r="G13" s="86" t="s">
        <v>788</v>
      </c>
      <c r="H13" s="80">
        <v>2</v>
      </c>
      <c r="I13" s="7" t="s">
        <v>55</v>
      </c>
      <c r="J13" s="7" t="s">
        <v>55</v>
      </c>
      <c r="N13" s="7"/>
    </row>
    <row r="14" spans="1:20">
      <c r="A14" s="3" cm="1">
        <f t="array" aca="1" ref="A14" ca="1">INDIRECT("A"&amp;ROW()-1)</f>
        <v>7</v>
      </c>
      <c r="B14" s="3" t="s">
        <v>858</v>
      </c>
      <c r="F14" s="55" t="str">
        <f>F13</f>
        <v>FALSE</v>
      </c>
      <c r="G14" s="68" t="s">
        <v>11</v>
      </c>
      <c r="H14" s="80">
        <v>3</v>
      </c>
      <c r="I14" s="7" t="s">
        <v>54</v>
      </c>
      <c r="J14" s="7" t="s">
        <v>54</v>
      </c>
      <c r="N14" s="7"/>
    </row>
    <row r="15" spans="1:20">
      <c r="A15" s="3" cm="1">
        <f t="array" aca="1" ref="A15" ca="1">INDIRECT("A"&amp;ROW()-1)</f>
        <v>7</v>
      </c>
      <c r="B15" s="3" t="s">
        <v>858</v>
      </c>
      <c r="F15" s="55" t="str">
        <f>F14</f>
        <v>FALSE</v>
      </c>
      <c r="G15" s="82" t="s">
        <v>580</v>
      </c>
      <c r="H15" s="80">
        <v>4</v>
      </c>
      <c r="I15" s="7" t="s">
        <v>52</v>
      </c>
      <c r="J15" s="7" t="s">
        <v>52</v>
      </c>
      <c r="N15" s="7"/>
    </row>
    <row r="16" spans="1:20">
      <c r="A16" s="3" cm="1">
        <f t="array" aca="1" ref="A16" ca="1">INDIRECT("A"&amp;ROW()-1)</f>
        <v>7</v>
      </c>
      <c r="B16" s="3" t="s">
        <v>858</v>
      </c>
      <c r="F16" s="55" t="str">
        <f>F15</f>
        <v>FALSE</v>
      </c>
      <c r="G16" s="5" t="s">
        <v>12</v>
      </c>
      <c r="H16" s="80">
        <v>5</v>
      </c>
      <c r="I16" s="81" t="s">
        <v>53</v>
      </c>
      <c r="J16" s="81" t="s">
        <v>53</v>
      </c>
      <c r="N16" s="7"/>
    </row>
    <row r="17" spans="1:19" ht="46.8">
      <c r="A17" s="3" cm="1">
        <f t="array" aca="1" ref="A17" ca="1">INDIRECT("A"&amp;ROW()-1)+1</f>
        <v>8</v>
      </c>
      <c r="B17" s="3">
        <v>8</v>
      </c>
      <c r="C17" s="3" t="str">
        <f>A2&amp;"!=代工"</f>
        <v>1!=代工</v>
      </c>
      <c r="D17" s="4" t="s">
        <v>798</v>
      </c>
      <c r="E17" s="11" t="s">
        <v>145</v>
      </c>
      <c r="F17" s="45" t="s">
        <v>125</v>
      </c>
      <c r="H17" s="80">
        <v>1</v>
      </c>
      <c r="I17" s="15" t="s">
        <v>129</v>
      </c>
      <c r="J17" s="15"/>
      <c r="K17" s="88" t="s">
        <v>799</v>
      </c>
      <c r="L17" s="44" t="str">
        <f>L2</f>
        <v>1</v>
      </c>
      <c r="M17" s="71" t="s">
        <v>337</v>
      </c>
      <c r="O17" s="16"/>
      <c r="P17" s="8"/>
      <c r="Q17" s="9"/>
      <c r="R17" s="97" t="s">
        <v>800</v>
      </c>
    </row>
    <row r="18" spans="1:19" ht="31.2">
      <c r="A18" s="3" cm="1">
        <f t="array" aca="1" ref="A18" ca="1">INDIRECT("A"&amp;ROW()-1)+1</f>
        <v>9</v>
      </c>
      <c r="B18" s="3">
        <v>9</v>
      </c>
      <c r="C18" s="3" t="str">
        <f ca="1">A8&amp;"==模组 and "&amp;A12&amp;"any['结构']"</f>
        <v>5==模组 and 7any['结构']</v>
      </c>
      <c r="D18" s="4" t="s">
        <v>790</v>
      </c>
      <c r="E18" s="5" t="s">
        <v>5</v>
      </c>
      <c r="F18" s="45" t="s">
        <v>125</v>
      </c>
      <c r="G18" s="86" t="s">
        <v>791</v>
      </c>
      <c r="H18" s="80">
        <v>1</v>
      </c>
      <c r="I18" s="7" t="b">
        <v>1</v>
      </c>
      <c r="J18" s="86" t="s">
        <v>791</v>
      </c>
      <c r="K18" s="88" t="s">
        <v>793</v>
      </c>
      <c r="L18" s="42" t="str">
        <f>L2</f>
        <v>1</v>
      </c>
      <c r="M18" s="42" t="s">
        <v>337</v>
      </c>
      <c r="N18" s="70" t="s">
        <v>633</v>
      </c>
      <c r="R18" s="97" t="s">
        <v>879</v>
      </c>
    </row>
    <row r="19" spans="1:19">
      <c r="A19" s="3" cm="1">
        <f t="array" aca="1" ref="A19" ca="1">INDIRECT("A"&amp;ROW()-1)</f>
        <v>9</v>
      </c>
      <c r="B19" s="3" t="s">
        <v>858</v>
      </c>
      <c r="F19" s="55" t="str">
        <f>F18</f>
        <v>TRUE</v>
      </c>
      <c r="G19" s="86" t="s">
        <v>792</v>
      </c>
      <c r="H19" s="80">
        <v>2</v>
      </c>
      <c r="I19" s="7" t="b">
        <v>0</v>
      </c>
      <c r="J19" s="86" t="s">
        <v>792</v>
      </c>
      <c r="K19" s="88" t="s">
        <v>793</v>
      </c>
      <c r="L19" s="42"/>
      <c r="M19" s="42"/>
      <c r="N19" s="70" t="s">
        <v>634</v>
      </c>
    </row>
    <row r="20" spans="1:19" ht="46.8">
      <c r="A20" s="3" cm="1">
        <f t="array" aca="1" ref="A20" ca="1">INDIRECT("A"&amp;ROW()-1)+1</f>
        <v>10</v>
      </c>
      <c r="B20" s="3">
        <v>10</v>
      </c>
      <c r="C20" s="3" t="str">
        <f ca="1">A14&amp;"any['结构','光学']"</f>
        <v>7any['结构','光学']</v>
      </c>
      <c r="D20" s="4" t="s">
        <v>821</v>
      </c>
      <c r="E20" s="11" t="s">
        <v>145</v>
      </c>
      <c r="F20" s="45" t="s">
        <v>125</v>
      </c>
      <c r="H20" s="80">
        <v>1</v>
      </c>
      <c r="I20" s="15" t="s">
        <v>129</v>
      </c>
      <c r="J20" s="15"/>
      <c r="K20" s="70" t="s">
        <v>657</v>
      </c>
      <c r="L20" s="44" t="str">
        <f>L2</f>
        <v>1</v>
      </c>
      <c r="M20" s="71" t="s">
        <v>337</v>
      </c>
      <c r="O20" s="16"/>
      <c r="P20" s="8"/>
      <c r="Q20" s="9"/>
      <c r="R20" s="97" t="s">
        <v>880</v>
      </c>
    </row>
    <row r="21" spans="1:19" ht="31.2">
      <c r="A21" s="3" cm="1">
        <f t="array" aca="1" ref="A21" ca="1">INDIRECT("A"&amp;ROW()-1)+1</f>
        <v>11</v>
      </c>
      <c r="B21" s="3">
        <v>11</v>
      </c>
      <c r="C21" s="71" t="str">
        <f>A2&amp;"!=代工"</f>
        <v>1!=代工</v>
      </c>
      <c r="D21" s="4" t="s">
        <v>659</v>
      </c>
      <c r="E21" s="86" t="s">
        <v>146</v>
      </c>
      <c r="F21" s="20" t="b">
        <v>0</v>
      </c>
      <c r="H21" s="80">
        <v>1</v>
      </c>
      <c r="I21" s="15" t="s">
        <v>129</v>
      </c>
      <c r="J21" s="15"/>
      <c r="K21" s="96" t="s">
        <v>928</v>
      </c>
      <c r="L21" s="44" t="str">
        <f>L2</f>
        <v>1</v>
      </c>
      <c r="M21" s="71" t="s">
        <v>658</v>
      </c>
      <c r="O21" s="16"/>
      <c r="P21" s="8"/>
      <c r="Q21" s="68" t="s">
        <v>660</v>
      </c>
      <c r="R21" s="87" t="s">
        <v>789</v>
      </c>
      <c r="S21" s="88" t="s">
        <v>822</v>
      </c>
    </row>
    <row r="22" spans="1:19" ht="46.8">
      <c r="A22" s="3" cm="1">
        <f t="array" aca="1" ref="A22" ca="1">INDIRECT("A"&amp;ROW()-1)+1</f>
        <v>12</v>
      </c>
      <c r="B22" s="3">
        <v>12</v>
      </c>
      <c r="C22" s="3" t="str">
        <f>A2&amp;"!=代工"</f>
        <v>1!=代工</v>
      </c>
      <c r="D22" s="4" t="s">
        <v>1072</v>
      </c>
      <c r="E22" s="11" t="s">
        <v>145</v>
      </c>
      <c r="F22" s="45" t="s">
        <v>125</v>
      </c>
      <c r="H22" s="80">
        <v>1</v>
      </c>
      <c r="I22" s="15" t="s">
        <v>129</v>
      </c>
      <c r="J22" s="15"/>
      <c r="K22" s="129" t="s">
        <v>1073</v>
      </c>
      <c r="L22" s="44" t="str">
        <f>L18</f>
        <v>1</v>
      </c>
      <c r="M22" s="66" t="s">
        <v>341</v>
      </c>
      <c r="O22" s="16"/>
      <c r="P22" s="8"/>
      <c r="Q22" s="9"/>
      <c r="R22" s="130" t="s">
        <v>1074</v>
      </c>
    </row>
    <row r="23" spans="1:19" ht="31.2">
      <c r="A23" s="3" cm="1">
        <f t="array" aca="1" ref="A23" ca="1">INDIRECT("A"&amp;ROW()-1)+1</f>
        <v>13</v>
      </c>
      <c r="B23" s="3">
        <v>13</v>
      </c>
      <c r="C23" s="3" t="str">
        <f ca="1">A8&amp;"==模组 and "&amp;A12&amp;"any['硬件']"</f>
        <v>5==模组 and 7any['硬件']</v>
      </c>
      <c r="D23" s="4" t="s">
        <v>549</v>
      </c>
      <c r="E23" s="5" t="s">
        <v>5</v>
      </c>
      <c r="F23" s="56" t="s">
        <v>134</v>
      </c>
      <c r="G23" s="68" t="s">
        <v>551</v>
      </c>
      <c r="H23" s="80">
        <v>1</v>
      </c>
      <c r="I23" s="68" t="s">
        <v>552</v>
      </c>
      <c r="J23" s="68" t="s">
        <v>552</v>
      </c>
      <c r="K23" s="70" t="s">
        <v>555</v>
      </c>
      <c r="L23" s="42" t="str">
        <f>L2</f>
        <v>1</v>
      </c>
      <c r="M23" s="42" t="s">
        <v>337</v>
      </c>
      <c r="N23" s="68" t="s">
        <v>551</v>
      </c>
      <c r="R23" s="97" t="s">
        <v>558</v>
      </c>
    </row>
    <row r="24" spans="1:19">
      <c r="A24" s="3" cm="1">
        <f t="array" aca="1" ref="A24" ca="1">INDIRECT("A"&amp;ROW()-1)</f>
        <v>13</v>
      </c>
      <c r="B24" s="3" t="s">
        <v>858</v>
      </c>
      <c r="F24" s="56"/>
      <c r="G24" s="70" t="s">
        <v>554</v>
      </c>
      <c r="H24" s="80">
        <v>2</v>
      </c>
      <c r="I24" s="68" t="s">
        <v>553</v>
      </c>
      <c r="J24" s="68" t="s">
        <v>553</v>
      </c>
      <c r="K24" s="70" t="s">
        <v>555</v>
      </c>
      <c r="L24" s="42"/>
      <c r="M24" s="42"/>
      <c r="N24" s="70" t="s">
        <v>554</v>
      </c>
      <c r="R24" s="12"/>
    </row>
    <row r="25" spans="1:19">
      <c r="A25" s="3" cm="1">
        <f t="array" aca="1" ref="A25" ca="1">INDIRECT("A"&amp;ROW()-1)</f>
        <v>13</v>
      </c>
      <c r="B25" s="3" t="s">
        <v>858</v>
      </c>
      <c r="F25" s="55" t="str">
        <f>F23</f>
        <v>FALSE</v>
      </c>
      <c r="G25" s="68" t="s">
        <v>556</v>
      </c>
      <c r="H25" s="80">
        <v>3</v>
      </c>
      <c r="I25" s="68" t="s">
        <v>557</v>
      </c>
      <c r="J25" s="68" t="s">
        <v>557</v>
      </c>
      <c r="K25" s="70" t="s">
        <v>555</v>
      </c>
      <c r="L25" s="31"/>
      <c r="M25" s="31"/>
      <c r="N25" s="68" t="s">
        <v>550</v>
      </c>
    </row>
    <row r="26" spans="1:19">
      <c r="A26" s="3" cm="1">
        <f t="array" aca="1" ref="A26" ca="1">INDIRECT("A"&amp;ROW()-1)+1</f>
        <v>14</v>
      </c>
      <c r="B26" s="3">
        <v>14</v>
      </c>
      <c r="C26" s="3" t="str">
        <f ca="1">A12&amp;"any['光学','结构']"</f>
        <v>7any['光学','结构']</v>
      </c>
      <c r="D26" s="4" t="s">
        <v>825</v>
      </c>
      <c r="E26" s="5" t="s">
        <v>5</v>
      </c>
      <c r="F26" s="56" t="s">
        <v>134</v>
      </c>
      <c r="G26" s="5" t="s">
        <v>1</v>
      </c>
      <c r="H26" s="80">
        <v>1</v>
      </c>
      <c r="I26" s="7" t="b">
        <v>1</v>
      </c>
      <c r="J26" s="33" t="s">
        <v>255</v>
      </c>
      <c r="K26" s="88" t="s">
        <v>832</v>
      </c>
      <c r="L26" s="42">
        <v>2</v>
      </c>
      <c r="M26" s="42" t="s">
        <v>337</v>
      </c>
      <c r="N26" s="51" t="s">
        <v>460</v>
      </c>
      <c r="R26" s="97" t="s">
        <v>881</v>
      </c>
    </row>
    <row r="27" spans="1:19">
      <c r="A27" s="3" cm="1">
        <f t="array" aca="1" ref="A27" ca="1">INDIRECT("A"&amp;ROW()-1)</f>
        <v>14</v>
      </c>
      <c r="B27" s="3" t="s">
        <v>858</v>
      </c>
      <c r="F27" s="55" t="str">
        <f t="shared" ref="F27:F45" si="0">F26</f>
        <v>FALSE</v>
      </c>
      <c r="G27" s="5" t="s">
        <v>2</v>
      </c>
      <c r="H27" s="80">
        <v>2</v>
      </c>
      <c r="I27" s="7" t="b">
        <v>0</v>
      </c>
      <c r="J27" s="33" t="s">
        <v>256</v>
      </c>
      <c r="K27" s="88" t="s">
        <v>832</v>
      </c>
      <c r="L27" s="31"/>
      <c r="M27" s="31"/>
      <c r="N27" s="38" t="s">
        <v>331</v>
      </c>
    </row>
    <row r="28" spans="1:19" ht="31.2">
      <c r="A28" s="3" cm="1">
        <f t="array" aca="1" ref="A28" ca="1">INDIRECT("A"&amp;ROW()-1)+1</f>
        <v>15</v>
      </c>
      <c r="B28" s="3">
        <v>15</v>
      </c>
      <c r="C28" s="3" t="str">
        <f ca="1">A26&amp;"==True"</f>
        <v>14==True</v>
      </c>
      <c r="D28" s="4" t="s">
        <v>826</v>
      </c>
      <c r="E28" s="5" t="s">
        <v>5</v>
      </c>
      <c r="F28" s="54" t="s">
        <v>125</v>
      </c>
      <c r="G28" s="86" t="s">
        <v>47</v>
      </c>
      <c r="H28" s="80">
        <v>1</v>
      </c>
      <c r="I28" s="6" t="s">
        <v>152</v>
      </c>
      <c r="J28" s="5" t="s">
        <v>47</v>
      </c>
      <c r="K28" s="88" t="s">
        <v>833</v>
      </c>
      <c r="L28" s="42">
        <f>L26</f>
        <v>2</v>
      </c>
      <c r="M28" s="42" t="s">
        <v>344</v>
      </c>
      <c r="R28" s="87" t="s">
        <v>823</v>
      </c>
    </row>
    <row r="29" spans="1:19">
      <c r="A29" s="3" cm="1">
        <f t="array" aca="1" ref="A29" ca="1">INDIRECT("A"&amp;ROW()-1)</f>
        <v>15</v>
      </c>
      <c r="B29" s="3" t="s">
        <v>858</v>
      </c>
      <c r="F29" s="55" t="str">
        <f t="shared" si="0"/>
        <v>TRUE</v>
      </c>
      <c r="G29" s="5" t="s">
        <v>49</v>
      </c>
      <c r="H29" s="80">
        <v>2</v>
      </c>
      <c r="I29" s="6" t="s">
        <v>154</v>
      </c>
      <c r="J29" s="5" t="s">
        <v>49</v>
      </c>
      <c r="K29" s="88" t="s">
        <v>834</v>
      </c>
      <c r="L29" s="31"/>
      <c r="M29" s="31"/>
    </row>
    <row r="30" spans="1:19">
      <c r="A30" s="3" cm="1">
        <f t="array" aca="1" ref="A30" ca="1">INDIRECT("A"&amp;ROW()-1)</f>
        <v>15</v>
      </c>
      <c r="B30" s="3" t="s">
        <v>858</v>
      </c>
      <c r="F30" s="55" t="str">
        <f t="shared" si="0"/>
        <v>TRUE</v>
      </c>
      <c r="G30" s="5" t="s">
        <v>48</v>
      </c>
      <c r="H30" s="80">
        <v>3</v>
      </c>
      <c r="I30" s="6" t="s">
        <v>153</v>
      </c>
      <c r="J30" s="5" t="s">
        <v>48</v>
      </c>
      <c r="K30" s="88" t="s">
        <v>835</v>
      </c>
      <c r="L30" s="31"/>
      <c r="M30" s="31"/>
    </row>
    <row r="31" spans="1:19" ht="31.2">
      <c r="A31" s="3" cm="1">
        <f t="array" aca="1" ref="A31" ca="1">INDIRECT("A"&amp;ROW()-1)</f>
        <v>15</v>
      </c>
      <c r="B31" s="3" t="s">
        <v>858</v>
      </c>
      <c r="F31" s="55" t="str">
        <f t="shared" si="0"/>
        <v>TRUE</v>
      </c>
      <c r="G31" s="14" t="s">
        <v>155</v>
      </c>
      <c r="H31" s="80">
        <v>4</v>
      </c>
      <c r="I31" s="6" t="s">
        <v>157</v>
      </c>
      <c r="J31" s="14" t="s">
        <v>155</v>
      </c>
      <c r="K31" s="88" t="s">
        <v>836</v>
      </c>
      <c r="L31" s="31"/>
      <c r="M31" s="31"/>
    </row>
    <row r="32" spans="1:19" ht="31.2">
      <c r="A32" s="3" cm="1">
        <f t="array" aca="1" ref="A32" ca="1">INDIRECT("A"&amp;ROW()-1)</f>
        <v>15</v>
      </c>
      <c r="B32" s="3" t="s">
        <v>858</v>
      </c>
      <c r="F32" s="55" t="str">
        <f t="shared" si="0"/>
        <v>TRUE</v>
      </c>
      <c r="G32" s="51" t="s">
        <v>156</v>
      </c>
      <c r="H32" s="80">
        <v>5</v>
      </c>
      <c r="I32" s="6" t="s">
        <v>158</v>
      </c>
      <c r="J32" s="51" t="s">
        <v>156</v>
      </c>
      <c r="K32" s="88" t="s">
        <v>837</v>
      </c>
      <c r="L32" s="31"/>
      <c r="M32" s="31"/>
    </row>
    <row r="33" spans="1:19" ht="31.2">
      <c r="A33" s="3" cm="1">
        <f t="array" aca="1" ref="A33" ca="1">INDIRECT("A"&amp;ROW()-1)</f>
        <v>15</v>
      </c>
      <c r="B33" s="3" t="s">
        <v>858</v>
      </c>
      <c r="F33" s="55" t="str">
        <f t="shared" si="0"/>
        <v>TRUE</v>
      </c>
      <c r="G33" s="51" t="s">
        <v>378</v>
      </c>
      <c r="H33" s="80">
        <v>6</v>
      </c>
      <c r="I33" s="52" t="s">
        <v>379</v>
      </c>
      <c r="J33" s="51" t="s">
        <v>378</v>
      </c>
      <c r="K33" s="88" t="s">
        <v>838</v>
      </c>
      <c r="L33" s="31"/>
      <c r="M33" s="31"/>
    </row>
    <row r="34" spans="1:19" ht="31.2">
      <c r="A34" s="3" cm="1">
        <f t="array" aca="1" ref="A34" ca="1">INDIRECT("A"&amp;ROW()-1)+1</f>
        <v>16</v>
      </c>
      <c r="B34" s="3">
        <v>16</v>
      </c>
      <c r="C34" s="3" t="str">
        <f ca="1">A26&amp;"==True"</f>
        <v>14==True</v>
      </c>
      <c r="D34" s="4" t="s">
        <v>827</v>
      </c>
      <c r="E34" s="5" t="s">
        <v>5</v>
      </c>
      <c r="F34" s="56" t="s">
        <v>134</v>
      </c>
      <c r="G34" s="5" t="s">
        <v>1</v>
      </c>
      <c r="H34" s="80">
        <v>1</v>
      </c>
      <c r="I34" s="7" t="b">
        <v>1</v>
      </c>
      <c r="J34" s="52" t="s">
        <v>380</v>
      </c>
      <c r="K34" s="88" t="s">
        <v>839</v>
      </c>
      <c r="L34" s="42">
        <f>L26</f>
        <v>2</v>
      </c>
      <c r="M34" s="42" t="s">
        <v>344</v>
      </c>
      <c r="N34" s="88" t="s">
        <v>840</v>
      </c>
      <c r="R34" s="97" t="s">
        <v>841</v>
      </c>
    </row>
    <row r="35" spans="1:19">
      <c r="A35" s="3" cm="1">
        <f t="array" aca="1" ref="A35" ca="1">INDIRECT("A"&amp;ROW()-1)</f>
        <v>16</v>
      </c>
      <c r="B35" s="3" t="s">
        <v>858</v>
      </c>
      <c r="F35" s="55" t="str">
        <f t="shared" si="0"/>
        <v>FALSE</v>
      </c>
      <c r="G35" s="5" t="s">
        <v>2</v>
      </c>
      <c r="H35" s="80">
        <v>2</v>
      </c>
      <c r="I35" s="7" t="b">
        <v>0</v>
      </c>
      <c r="J35" s="52" t="s">
        <v>381</v>
      </c>
      <c r="K35" s="102" t="s">
        <v>1000</v>
      </c>
      <c r="L35" s="43"/>
      <c r="M35" s="43"/>
    </row>
    <row r="36" spans="1:19" ht="56.4" customHeight="1">
      <c r="A36" s="3" cm="1">
        <f t="array" aca="1" ref="A36" ca="1">INDIRECT("A"&amp;ROW()-1)+1</f>
        <v>17</v>
      </c>
      <c r="B36" s="3">
        <v>17</v>
      </c>
      <c r="C36" s="17" t="str">
        <f ca="1">A34&amp;"==True or "&amp;A28&amp;"any['CDC','CD','DCD','CDCD','DCDCD']"</f>
        <v>16==True or 15any['CDC','CD','DCD','CDCD','DCDCD']</v>
      </c>
      <c r="D36" s="4" t="s">
        <v>828</v>
      </c>
      <c r="E36" s="35" t="s">
        <v>146</v>
      </c>
      <c r="F36" s="54" t="s">
        <v>125</v>
      </c>
      <c r="H36" s="80">
        <v>1</v>
      </c>
      <c r="I36" s="15" t="s">
        <v>129</v>
      </c>
      <c r="J36" s="15"/>
      <c r="K36" s="88" t="s">
        <v>842</v>
      </c>
      <c r="L36" s="42">
        <f>L26</f>
        <v>2</v>
      </c>
      <c r="M36" s="42" t="s">
        <v>344</v>
      </c>
      <c r="O36" s="16"/>
      <c r="P36" s="8"/>
      <c r="Q36" s="18"/>
      <c r="R36" s="97" t="s">
        <v>882</v>
      </c>
      <c r="S36" s="88" t="s">
        <v>824</v>
      </c>
    </row>
    <row r="37" spans="1:19" ht="46.8" customHeight="1">
      <c r="A37" s="3" cm="1">
        <f t="array" aca="1" ref="A37" ca="1">INDIRECT("A"&amp;ROW()-1)+1</f>
        <v>18</v>
      </c>
      <c r="B37" s="3">
        <v>18</v>
      </c>
      <c r="C37" s="17" t="str">
        <f ca="1">A34&amp;"==True or "&amp;A28&amp;"any['DC','CDC','DCD','CDCD','DCDCD']"</f>
        <v>16==True or 15any['DC','CDC','DCD','CDCD','DCDCD']</v>
      </c>
      <c r="D37" s="4" t="s">
        <v>829</v>
      </c>
      <c r="E37" s="35" t="s">
        <v>146</v>
      </c>
      <c r="F37" s="54" t="s">
        <v>125</v>
      </c>
      <c r="H37" s="80">
        <v>1</v>
      </c>
      <c r="I37" s="15" t="s">
        <v>129</v>
      </c>
      <c r="J37" s="15"/>
      <c r="K37" s="88" t="s">
        <v>843</v>
      </c>
      <c r="L37" s="42">
        <f>L36</f>
        <v>2</v>
      </c>
      <c r="M37" s="42" t="s">
        <v>344</v>
      </c>
      <c r="O37" s="16"/>
      <c r="P37" s="8"/>
      <c r="Q37" s="18"/>
      <c r="R37" s="97" t="s">
        <v>883</v>
      </c>
      <c r="S37" s="77" t="s">
        <v>749</v>
      </c>
    </row>
    <row r="38" spans="1:19" ht="31.2">
      <c r="A38" s="3" cm="1">
        <f t="array" aca="1" ref="A38" ca="1">INDIRECT("A"&amp;ROW()-1)+1</f>
        <v>19</v>
      </c>
      <c r="B38" s="3">
        <v>19</v>
      </c>
      <c r="C38" s="17" t="str">
        <f ca="1">A26&amp;"==True"</f>
        <v>14==True</v>
      </c>
      <c r="D38" s="4" t="s">
        <v>830</v>
      </c>
      <c r="E38" s="35" t="s">
        <v>146</v>
      </c>
      <c r="F38" s="54" t="s">
        <v>125</v>
      </c>
      <c r="H38" s="80">
        <v>1</v>
      </c>
      <c r="I38" s="15" t="s">
        <v>129</v>
      </c>
      <c r="J38" s="15"/>
      <c r="K38" s="88" t="s">
        <v>844</v>
      </c>
      <c r="L38" s="42">
        <f>L36</f>
        <v>2</v>
      </c>
      <c r="M38" s="42" t="s">
        <v>344</v>
      </c>
      <c r="N38" s="58" t="s">
        <v>481</v>
      </c>
      <c r="O38" s="16"/>
      <c r="P38" s="8"/>
      <c r="Q38" s="18"/>
      <c r="R38" s="97" t="s">
        <v>884</v>
      </c>
      <c r="S38" s="77" t="s">
        <v>746</v>
      </c>
    </row>
    <row r="39" spans="1:19" ht="46.8" customHeight="1">
      <c r="A39" s="3" cm="1">
        <f t="array" aca="1" ref="A39" ca="1">INDIRECT("A"&amp;ROW()-1)+1</f>
        <v>20</v>
      </c>
      <c r="B39" s="3">
        <v>20</v>
      </c>
      <c r="C39" s="17" t="str">
        <f ca="1">A26&amp;"==True"</f>
        <v>14==True</v>
      </c>
      <c r="D39" s="4" t="s">
        <v>831</v>
      </c>
      <c r="E39" s="35" t="s">
        <v>145</v>
      </c>
      <c r="F39" s="54" t="s">
        <v>125</v>
      </c>
      <c r="H39" s="80">
        <v>1</v>
      </c>
      <c r="I39" s="15" t="s">
        <v>129</v>
      </c>
      <c r="J39" s="15"/>
      <c r="K39" s="102" t="s">
        <v>1001</v>
      </c>
      <c r="L39" s="42">
        <f>L36</f>
        <v>2</v>
      </c>
      <c r="M39" s="42" t="s">
        <v>344</v>
      </c>
      <c r="O39" s="16"/>
      <c r="P39" s="8"/>
      <c r="Q39" s="18"/>
      <c r="R39" s="97" t="s">
        <v>885</v>
      </c>
      <c r="S39" s="88" t="s">
        <v>845</v>
      </c>
    </row>
    <row r="40" spans="1:19" ht="31.2">
      <c r="A40" s="3" cm="1">
        <f t="array" aca="1" ref="A40" ca="1">INDIRECT("A"&amp;ROW()-1)+1</f>
        <v>21</v>
      </c>
      <c r="B40" s="3">
        <v>21</v>
      </c>
      <c r="C40" s="3" t="str">
        <f ca="1">A12&amp;"any['光学'] and "&amp;A12&amp;"any['光源']"</f>
        <v>7any['光学'] and 7any['光源']</v>
      </c>
      <c r="D40" s="4" t="s">
        <v>797</v>
      </c>
      <c r="E40" s="5" t="s">
        <v>5</v>
      </c>
      <c r="F40" s="56" t="s">
        <v>134</v>
      </c>
      <c r="G40" s="5" t="s">
        <v>1</v>
      </c>
      <c r="H40" s="80">
        <v>1</v>
      </c>
      <c r="I40" s="7" t="b">
        <v>1</v>
      </c>
      <c r="J40" s="52" t="s">
        <v>397</v>
      </c>
      <c r="K40" s="51" t="s">
        <v>396</v>
      </c>
      <c r="L40" s="43">
        <v>3</v>
      </c>
      <c r="M40" s="42" t="s">
        <v>337</v>
      </c>
      <c r="N40" s="51"/>
      <c r="R40" s="36" t="s">
        <v>280</v>
      </c>
    </row>
    <row r="41" spans="1:19">
      <c r="A41" s="3" cm="1">
        <f t="array" aca="1" ref="A41" ca="1">INDIRECT("A"&amp;ROW()-1)</f>
        <v>21</v>
      </c>
      <c r="B41" s="3" t="s">
        <v>858</v>
      </c>
      <c r="F41" s="55" t="str">
        <f>F40</f>
        <v>FALSE</v>
      </c>
      <c r="G41" s="5" t="s">
        <v>2</v>
      </c>
      <c r="H41" s="80">
        <v>2</v>
      </c>
      <c r="I41" s="7" t="b">
        <v>0</v>
      </c>
      <c r="J41" s="52" t="s">
        <v>257</v>
      </c>
      <c r="L41" s="43"/>
      <c r="M41" s="43"/>
    </row>
    <row r="42" spans="1:19">
      <c r="A42" s="3" cm="1">
        <f t="array" aca="1" ref="A42" ca="1">INDIRECT("A"&amp;ROW()-1)+1</f>
        <v>22</v>
      </c>
      <c r="B42" s="3">
        <v>22</v>
      </c>
      <c r="C42" s="3" t="str">
        <f ca="1">A40&amp;"==True"</f>
        <v>21==True</v>
      </c>
      <c r="D42" s="4" t="s">
        <v>543</v>
      </c>
      <c r="E42" s="5" t="s">
        <v>5</v>
      </c>
      <c r="F42" s="56" t="s">
        <v>134</v>
      </c>
      <c r="G42" s="68" t="s">
        <v>541</v>
      </c>
      <c r="H42" s="80">
        <v>1</v>
      </c>
      <c r="I42" s="68" t="s">
        <v>544</v>
      </c>
      <c r="J42" s="68" t="s">
        <v>541</v>
      </c>
      <c r="K42" s="70" t="s">
        <v>546</v>
      </c>
      <c r="L42" s="43">
        <f>L40</f>
        <v>3</v>
      </c>
      <c r="M42" s="42" t="s">
        <v>337</v>
      </c>
      <c r="N42" s="51"/>
      <c r="R42" s="69" t="s">
        <v>548</v>
      </c>
    </row>
    <row r="43" spans="1:19">
      <c r="A43" s="3" cm="1">
        <f t="array" aca="1" ref="A43" ca="1">INDIRECT("A"&amp;ROW()-1)</f>
        <v>22</v>
      </c>
      <c r="B43" s="3" t="s">
        <v>858</v>
      </c>
      <c r="F43" s="55" t="str">
        <f>F42</f>
        <v>FALSE</v>
      </c>
      <c r="G43" s="68" t="s">
        <v>542</v>
      </c>
      <c r="H43" s="80">
        <v>2</v>
      </c>
      <c r="I43" s="68" t="s">
        <v>545</v>
      </c>
      <c r="J43" s="68" t="s">
        <v>542</v>
      </c>
      <c r="K43" s="70" t="s">
        <v>547</v>
      </c>
      <c r="L43" s="43"/>
      <c r="M43" s="43"/>
    </row>
    <row r="44" spans="1:19" ht="31.2">
      <c r="A44" s="3" cm="1">
        <f t="array" aca="1" ref="A44" ca="1">INDIRECT("A"&amp;ROW()-1)+1</f>
        <v>23</v>
      </c>
      <c r="B44" s="3">
        <v>23</v>
      </c>
      <c r="C44" s="2" t="str">
        <f ca="1">A26&amp;"==True"</f>
        <v>14==True</v>
      </c>
      <c r="D44" s="4" t="s">
        <v>846</v>
      </c>
      <c r="E44" s="5" t="s">
        <v>5</v>
      </c>
      <c r="F44" s="56" t="s">
        <v>134</v>
      </c>
      <c r="G44" s="5" t="s">
        <v>1</v>
      </c>
      <c r="H44" s="80">
        <v>1</v>
      </c>
      <c r="I44" s="7" t="b">
        <v>1</v>
      </c>
      <c r="J44" s="86" t="s">
        <v>380</v>
      </c>
      <c r="K44" s="88" t="s">
        <v>847</v>
      </c>
      <c r="L44" s="42">
        <f>L40</f>
        <v>3</v>
      </c>
      <c r="M44" s="42" t="s">
        <v>344</v>
      </c>
      <c r="N44" s="51" t="s">
        <v>461</v>
      </c>
      <c r="R44" s="78" t="s">
        <v>747</v>
      </c>
    </row>
    <row r="45" spans="1:19" ht="24" customHeight="1">
      <c r="A45" s="3" cm="1">
        <f t="array" aca="1" ref="A45" ca="1">INDIRECT("A"&amp;ROW()-1)</f>
        <v>23</v>
      </c>
      <c r="B45" s="3" t="s">
        <v>858</v>
      </c>
      <c r="F45" s="55" t="str">
        <f t="shared" si="0"/>
        <v>FALSE</v>
      </c>
      <c r="G45" s="5" t="s">
        <v>2</v>
      </c>
      <c r="H45" s="80">
        <v>2</v>
      </c>
      <c r="I45" s="7" t="b">
        <v>0</v>
      </c>
      <c r="J45" s="52" t="s">
        <v>382</v>
      </c>
      <c r="K45" s="88" t="s">
        <v>848</v>
      </c>
      <c r="L45" s="43"/>
      <c r="M45" s="43"/>
    </row>
    <row r="46" spans="1:19" ht="31.2">
      <c r="A46" s="3" cm="1">
        <f t="array" aca="1" ref="A46" ca="1">INDIRECT("A"&amp;ROW()-1)+1</f>
        <v>24</v>
      </c>
      <c r="B46" s="3">
        <v>24</v>
      </c>
      <c r="C46" s="3" t="str">
        <f ca="1">A8&amp;"==模组 and "&amp;A44&amp;"==True"</f>
        <v>5==模组 and 23==True</v>
      </c>
      <c r="D46" s="4" t="s">
        <v>794</v>
      </c>
      <c r="E46" s="5" t="s">
        <v>5</v>
      </c>
      <c r="F46" s="56" t="s">
        <v>134</v>
      </c>
      <c r="G46" s="107" t="s">
        <v>1038</v>
      </c>
      <c r="H46" s="80">
        <v>1</v>
      </c>
      <c r="I46" s="107" t="s">
        <v>1039</v>
      </c>
      <c r="J46" s="107" t="s">
        <v>1042</v>
      </c>
      <c r="K46" s="109" t="s">
        <v>1043</v>
      </c>
      <c r="L46" s="43">
        <f>L44</f>
        <v>3</v>
      </c>
      <c r="M46" s="71" t="s">
        <v>337</v>
      </c>
      <c r="N46" s="51"/>
      <c r="R46" s="108" t="s">
        <v>1044</v>
      </c>
    </row>
    <row r="47" spans="1:19">
      <c r="A47" s="3" cm="1">
        <f t="array" aca="1" ref="A47" ca="1">INDIRECT("A"&amp;ROW()-1)</f>
        <v>24</v>
      </c>
      <c r="F47" s="56" t="s">
        <v>134</v>
      </c>
      <c r="G47" s="107" t="s">
        <v>1037</v>
      </c>
      <c r="H47" s="80">
        <v>3</v>
      </c>
      <c r="I47" s="107" t="s">
        <v>1040</v>
      </c>
      <c r="J47" s="107" t="s">
        <v>1037</v>
      </c>
      <c r="K47" s="109" t="s">
        <v>1043</v>
      </c>
      <c r="L47" s="43"/>
      <c r="M47" s="71"/>
      <c r="N47" s="51"/>
      <c r="R47" s="97"/>
    </row>
    <row r="48" spans="1:19">
      <c r="A48" s="3" cm="1">
        <f t="array" aca="1" ref="A48" ca="1">INDIRECT("A"&amp;ROW()-1)</f>
        <v>24</v>
      </c>
      <c r="B48" s="3" t="s">
        <v>858</v>
      </c>
      <c r="F48" s="55" t="str">
        <f>F46</f>
        <v>FALSE</v>
      </c>
      <c r="G48" s="107" t="s">
        <v>795</v>
      </c>
      <c r="H48" s="80">
        <v>2</v>
      </c>
      <c r="I48" s="107" t="s">
        <v>1041</v>
      </c>
      <c r="J48" s="86" t="s">
        <v>796</v>
      </c>
      <c r="K48" s="109" t="s">
        <v>1043</v>
      </c>
      <c r="L48" s="43"/>
      <c r="M48" s="43"/>
    </row>
    <row r="49" spans="1:18">
      <c r="A49" s="3" cm="1">
        <f t="array" aca="1" ref="A49" ca="1">INDIRECT("A"&amp;ROW()-1)+1</f>
        <v>25</v>
      </c>
      <c r="B49" s="3">
        <v>25</v>
      </c>
      <c r="C49" s="3" t="str">
        <f ca="1">A46&amp;"==指定"</f>
        <v>24==指定</v>
      </c>
      <c r="D49" s="4" t="s">
        <v>635</v>
      </c>
      <c r="E49" s="11" t="s">
        <v>145</v>
      </c>
      <c r="F49" s="28" t="b">
        <v>0</v>
      </c>
      <c r="H49" s="80">
        <v>1</v>
      </c>
      <c r="I49" s="15" t="s">
        <v>129</v>
      </c>
      <c r="J49" s="15"/>
      <c r="K49" s="70" t="s">
        <v>636</v>
      </c>
      <c r="L49" s="44">
        <f>L46</f>
        <v>3</v>
      </c>
      <c r="M49" s="71" t="s">
        <v>337</v>
      </c>
      <c r="O49" s="16"/>
      <c r="P49" s="8"/>
      <c r="Q49" s="9"/>
      <c r="R49" s="97" t="s">
        <v>886</v>
      </c>
    </row>
    <row r="50" spans="1:18" ht="31.2">
      <c r="A50" s="3" cm="1">
        <f t="array" aca="1" ref="A50" ca="1">INDIRECT("A"&amp;ROW()-1)+1</f>
        <v>26</v>
      </c>
      <c r="B50" s="3">
        <v>26</v>
      </c>
      <c r="C50" s="3" t="str">
        <f ca="1">A8&amp;"==模组 and "&amp;A44&amp;"==True"</f>
        <v>5==模组 and 23==True</v>
      </c>
      <c r="D50" s="4" t="s">
        <v>849</v>
      </c>
      <c r="E50" s="5" t="s">
        <v>5</v>
      </c>
      <c r="F50" s="56" t="s">
        <v>134</v>
      </c>
      <c r="G50" s="65" t="s">
        <v>520</v>
      </c>
      <c r="H50" s="80">
        <v>1</v>
      </c>
      <c r="I50" s="65" t="s">
        <v>522</v>
      </c>
      <c r="J50" s="65" t="s">
        <v>522</v>
      </c>
      <c r="K50" s="65" t="s">
        <v>523</v>
      </c>
      <c r="L50" s="42">
        <f>L44</f>
        <v>3</v>
      </c>
      <c r="M50" s="66" t="s">
        <v>341</v>
      </c>
      <c r="N50" s="58"/>
      <c r="R50" s="97" t="s">
        <v>887</v>
      </c>
    </row>
    <row r="51" spans="1:18">
      <c r="A51" s="3" cm="1">
        <f t="array" aca="1" ref="A51" ca="1">INDIRECT("A"&amp;ROW()-1)</f>
        <v>26</v>
      </c>
      <c r="B51" s="3" t="s">
        <v>858</v>
      </c>
      <c r="F51" s="55" t="str">
        <f>F50</f>
        <v>FALSE</v>
      </c>
      <c r="G51" s="65" t="s">
        <v>521</v>
      </c>
      <c r="H51" s="80">
        <v>2</v>
      </c>
      <c r="I51" s="65" t="s">
        <v>521</v>
      </c>
      <c r="J51" s="65" t="s">
        <v>521</v>
      </c>
      <c r="K51" s="65" t="s">
        <v>523</v>
      </c>
      <c r="L51" s="43"/>
      <c r="M51" s="43"/>
      <c r="N51" s="67" t="s">
        <v>527</v>
      </c>
    </row>
    <row r="52" spans="1:18">
      <c r="A52" s="3" cm="1">
        <f t="array" aca="1" ref="A52" ca="1">INDIRECT("A"&amp;ROW()-1)</f>
        <v>26</v>
      </c>
      <c r="B52" s="3" t="s">
        <v>858</v>
      </c>
      <c r="F52" s="55" t="str">
        <f>F51</f>
        <v>FALSE</v>
      </c>
      <c r="G52" s="65" t="s">
        <v>524</v>
      </c>
      <c r="H52" s="80">
        <v>3</v>
      </c>
      <c r="I52" s="65" t="s">
        <v>525</v>
      </c>
      <c r="J52" s="65" t="s">
        <v>525</v>
      </c>
      <c r="K52" s="65" t="s">
        <v>526</v>
      </c>
      <c r="L52" s="43"/>
      <c r="M52" s="43"/>
      <c r="N52" s="67" t="s">
        <v>524</v>
      </c>
    </row>
    <row r="53" spans="1:18">
      <c r="A53" s="3" cm="1">
        <f t="array" aca="1" ref="A53" ca="1">INDIRECT("A"&amp;ROW()-1)+1</f>
        <v>27</v>
      </c>
      <c r="B53" s="3">
        <v>27</v>
      </c>
      <c r="C53" s="3" t="str">
        <f ca="1">A51&amp;"==定制"</f>
        <v>26==定制</v>
      </c>
      <c r="D53" s="4" t="s">
        <v>528</v>
      </c>
      <c r="E53" s="11" t="s">
        <v>145</v>
      </c>
      <c r="F53" s="45" t="s">
        <v>125</v>
      </c>
      <c r="H53" s="80">
        <v>1</v>
      </c>
      <c r="I53" s="15" t="s">
        <v>129</v>
      </c>
      <c r="J53" s="15"/>
      <c r="K53" s="67" t="s">
        <v>529</v>
      </c>
      <c r="L53" s="44">
        <f>L50</f>
        <v>3</v>
      </c>
      <c r="M53" s="66" t="s">
        <v>341</v>
      </c>
      <c r="O53" s="16"/>
      <c r="P53" s="8"/>
      <c r="Q53" s="9"/>
      <c r="R53" s="97" t="s">
        <v>888</v>
      </c>
    </row>
    <row r="54" spans="1:18" ht="44.4" customHeight="1">
      <c r="A54" s="3" cm="1">
        <f t="array" aca="1" ref="A54" ca="1">INDIRECT("A"&amp;ROW()-1)+1</f>
        <v>28</v>
      </c>
      <c r="B54" s="3">
        <v>28</v>
      </c>
      <c r="C54" s="3" t="str">
        <f ca="1">A8&amp;"==模组 and "&amp;A44&amp;"==True and "&amp;A46&amp;"!=指定"</f>
        <v>5==模组 and 23==True and 24!=指定</v>
      </c>
      <c r="D54" s="4" t="s">
        <v>850</v>
      </c>
      <c r="E54" s="5" t="s">
        <v>5</v>
      </c>
      <c r="F54" s="56" t="s">
        <v>134</v>
      </c>
      <c r="G54" s="5" t="s">
        <v>1</v>
      </c>
      <c r="H54" s="80">
        <v>1</v>
      </c>
      <c r="I54" s="7" t="b">
        <v>1</v>
      </c>
      <c r="J54" s="52" t="s">
        <v>257</v>
      </c>
      <c r="K54" s="52"/>
      <c r="L54" s="43">
        <f>L44</f>
        <v>3</v>
      </c>
      <c r="M54" s="42" t="s">
        <v>341</v>
      </c>
      <c r="N54" s="51" t="s">
        <v>463</v>
      </c>
      <c r="R54" s="97" t="s">
        <v>890</v>
      </c>
    </row>
    <row r="55" spans="1:18">
      <c r="A55" s="3" cm="1">
        <f t="array" aca="1" ref="A55" ca="1">INDIRECT("A"&amp;ROW()-1)</f>
        <v>28</v>
      </c>
      <c r="B55" s="3" t="s">
        <v>858</v>
      </c>
      <c r="F55" s="55" t="str">
        <f>F54</f>
        <v>FALSE</v>
      </c>
      <c r="G55" s="5" t="s">
        <v>2</v>
      </c>
      <c r="H55" s="80">
        <v>2</v>
      </c>
      <c r="I55" s="7" t="b">
        <v>0</v>
      </c>
      <c r="J55" s="52" t="s">
        <v>407</v>
      </c>
      <c r="K55" s="52" t="s">
        <v>384</v>
      </c>
      <c r="L55" s="43"/>
      <c r="M55" s="43"/>
    </row>
    <row r="56" spans="1:18">
      <c r="A56" s="3" cm="1">
        <f t="array" aca="1" ref="A56" ca="1">INDIRECT("A"&amp;ROW()-1)+1</f>
        <v>29</v>
      </c>
      <c r="B56" s="3">
        <v>29</v>
      </c>
      <c r="C56" s="3" t="str">
        <f ca="1">A54&amp;"==True"</f>
        <v>28==True</v>
      </c>
      <c r="D56" s="4" t="s">
        <v>205</v>
      </c>
      <c r="E56" s="11" t="s">
        <v>145</v>
      </c>
      <c r="F56" s="46" t="s">
        <v>125</v>
      </c>
      <c r="H56" s="80">
        <v>1</v>
      </c>
      <c r="I56" s="15" t="s">
        <v>129</v>
      </c>
      <c r="J56" s="15"/>
      <c r="K56" s="35" t="s">
        <v>283</v>
      </c>
      <c r="L56" s="44">
        <f>L54</f>
        <v>3</v>
      </c>
      <c r="M56" s="42" t="s">
        <v>341</v>
      </c>
      <c r="O56" s="16"/>
      <c r="P56" s="8"/>
      <c r="Q56" s="9"/>
      <c r="R56" s="97" t="s">
        <v>891</v>
      </c>
    </row>
    <row r="57" spans="1:18" ht="51.6" customHeight="1">
      <c r="A57" s="3" cm="1">
        <f t="array" aca="1" ref="A57" ca="1">INDIRECT("A"&amp;ROW()-1)+1</f>
        <v>30</v>
      </c>
      <c r="B57" s="3">
        <v>30</v>
      </c>
      <c r="C57" s="3" t="str">
        <f ca="1">A8&amp;"==模组 and "&amp;A44&amp;"==True and "&amp;A46&amp;"!=指定"</f>
        <v>5==模组 and 23==True and 24!=指定</v>
      </c>
      <c r="D57" s="4" t="s">
        <v>851</v>
      </c>
      <c r="E57" s="5" t="s">
        <v>5</v>
      </c>
      <c r="F57" s="56" t="s">
        <v>125</v>
      </c>
      <c r="G57" s="5" t="s">
        <v>1</v>
      </c>
      <c r="H57" s="80">
        <v>1</v>
      </c>
      <c r="I57" s="7" t="b">
        <v>1</v>
      </c>
      <c r="J57" s="52" t="s">
        <v>257</v>
      </c>
      <c r="K57" s="52"/>
      <c r="L57" s="43">
        <f>L44</f>
        <v>3</v>
      </c>
      <c r="M57" s="42" t="s">
        <v>355</v>
      </c>
      <c r="N57" s="51" t="s">
        <v>462</v>
      </c>
      <c r="R57" s="87" t="s">
        <v>780</v>
      </c>
    </row>
    <row r="58" spans="1:18">
      <c r="A58" s="3" cm="1">
        <f t="array" aca="1" ref="A58" ca="1">INDIRECT("A"&amp;ROW()-1)</f>
        <v>30</v>
      </c>
      <c r="B58" s="3" t="s">
        <v>858</v>
      </c>
      <c r="F58" s="55" t="str">
        <f>F57</f>
        <v>TRUE</v>
      </c>
      <c r="G58" s="5" t="s">
        <v>2</v>
      </c>
      <c r="H58" s="80">
        <v>2</v>
      </c>
      <c r="I58" s="7" t="b">
        <v>0</v>
      </c>
      <c r="J58" s="52" t="s">
        <v>406</v>
      </c>
      <c r="K58" s="52" t="s">
        <v>385</v>
      </c>
      <c r="L58" s="43"/>
      <c r="M58" s="43"/>
    </row>
    <row r="59" spans="1:18">
      <c r="A59" s="3" cm="1">
        <f t="array" aca="1" ref="A59" ca="1">INDIRECT("A"&amp;ROW()-1)+1</f>
        <v>31</v>
      </c>
      <c r="B59" s="3">
        <v>31</v>
      </c>
      <c r="C59" s="3" t="str">
        <f ca="1">A57&amp;"==True"</f>
        <v>30==True</v>
      </c>
      <c r="D59" s="4" t="s">
        <v>206</v>
      </c>
      <c r="E59" s="11" t="s">
        <v>145</v>
      </c>
      <c r="F59" s="45" t="s">
        <v>125</v>
      </c>
      <c r="H59" s="80">
        <v>1</v>
      </c>
      <c r="I59" s="15" t="s">
        <v>129</v>
      </c>
      <c r="J59" s="15"/>
      <c r="K59" s="35" t="s">
        <v>284</v>
      </c>
      <c r="L59" s="44">
        <f>L57</f>
        <v>3</v>
      </c>
      <c r="M59" s="42" t="s">
        <v>355</v>
      </c>
      <c r="O59" s="16"/>
      <c r="P59" s="8"/>
      <c r="Q59" s="9"/>
      <c r="R59" s="97" t="s">
        <v>889</v>
      </c>
    </row>
    <row r="60" spans="1:18" ht="49.8" customHeight="1">
      <c r="A60" s="3" cm="1">
        <f t="array" aca="1" ref="A60" ca="1">INDIRECT("A"&amp;ROW()-1)+1</f>
        <v>32</v>
      </c>
      <c r="B60" s="3">
        <v>32</v>
      </c>
      <c r="C60" s="3" t="str">
        <f ca="1">A8&amp;"==模组 and "&amp;A44&amp;"==True and "&amp;A46&amp;"!=指定"</f>
        <v>5==模组 and 23==True and 24!=指定</v>
      </c>
      <c r="D60" s="4" t="s">
        <v>852</v>
      </c>
      <c r="E60" s="5" t="s">
        <v>5</v>
      </c>
      <c r="F60" s="56" t="s">
        <v>134</v>
      </c>
      <c r="G60" s="5" t="s">
        <v>1</v>
      </c>
      <c r="H60" s="80">
        <v>1</v>
      </c>
      <c r="I60" s="7" t="b">
        <v>1</v>
      </c>
      <c r="J60" s="37" t="s">
        <v>257</v>
      </c>
      <c r="L60" s="48">
        <f>L44</f>
        <v>3</v>
      </c>
      <c r="M60" s="71" t="s">
        <v>343</v>
      </c>
      <c r="N60" s="51"/>
      <c r="R60" s="97" t="s">
        <v>892</v>
      </c>
    </row>
    <row r="61" spans="1:18">
      <c r="A61" s="3" cm="1">
        <f t="array" aca="1" ref="A61" ca="1">INDIRECT("A"&amp;ROW()-1)</f>
        <v>32</v>
      </c>
      <c r="B61" s="3" t="s">
        <v>858</v>
      </c>
      <c r="F61" s="55" t="str">
        <f>F60</f>
        <v>FALSE</v>
      </c>
      <c r="G61" s="5" t="s">
        <v>2</v>
      </c>
      <c r="H61" s="80">
        <v>2</v>
      </c>
      <c r="I61" s="7" t="b">
        <v>0</v>
      </c>
      <c r="J61" s="52" t="s">
        <v>409</v>
      </c>
      <c r="K61" s="70" t="s">
        <v>559</v>
      </c>
      <c r="L61" s="48"/>
      <c r="M61" s="48"/>
    </row>
    <row r="62" spans="1:18">
      <c r="A62" s="3" cm="1">
        <f t="array" aca="1" ref="A62" ca="1">INDIRECT("A"&amp;ROW()-1)+1</f>
        <v>33</v>
      </c>
      <c r="B62" s="3">
        <v>33</v>
      </c>
      <c r="C62" s="3" t="str">
        <f ca="1">A60&amp;"==True"</f>
        <v>32==True</v>
      </c>
      <c r="D62" s="4" t="s">
        <v>853</v>
      </c>
      <c r="E62" s="11" t="s">
        <v>145</v>
      </c>
      <c r="F62" s="46" t="s">
        <v>125</v>
      </c>
      <c r="H62" s="80">
        <v>1</v>
      </c>
      <c r="I62" s="15" t="s">
        <v>129</v>
      </c>
      <c r="J62" s="15"/>
      <c r="K62" s="70" t="s">
        <v>560</v>
      </c>
      <c r="L62" s="44">
        <f>L60</f>
        <v>3</v>
      </c>
      <c r="M62" s="42" t="s">
        <v>343</v>
      </c>
      <c r="O62" s="16"/>
      <c r="P62" s="8"/>
      <c r="Q62" s="18"/>
      <c r="R62" s="97" t="s">
        <v>182</v>
      </c>
    </row>
    <row r="63" spans="1:18" ht="55.8" customHeight="1">
      <c r="A63" s="3" cm="1">
        <f t="array" aca="1" ref="A63" ca="1">INDIRECT("A"&amp;ROW()-1)+1</f>
        <v>34</v>
      </c>
      <c r="B63" s="3">
        <v>34</v>
      </c>
      <c r="C63" s="3" t="str">
        <f ca="1">A8&amp;"==模组 and "&amp;A44&amp;"==True and "&amp;A50&amp;"!=不配"</f>
        <v>5==模组 and 23==True and 26!=不配</v>
      </c>
      <c r="D63" s="4" t="s">
        <v>386</v>
      </c>
      <c r="E63" s="5" t="s">
        <v>5</v>
      </c>
      <c r="F63" s="56" t="s">
        <v>134</v>
      </c>
      <c r="G63" s="5" t="s">
        <v>1</v>
      </c>
      <c r="H63" s="80">
        <v>1</v>
      </c>
      <c r="I63" s="7" t="b">
        <v>1</v>
      </c>
      <c r="J63" s="52" t="s">
        <v>257</v>
      </c>
      <c r="K63" s="51"/>
      <c r="L63" s="43">
        <f>L50</f>
        <v>3</v>
      </c>
      <c r="M63" s="42" t="s">
        <v>341</v>
      </c>
      <c r="R63" s="97" t="s">
        <v>893</v>
      </c>
    </row>
    <row r="64" spans="1:18">
      <c r="A64" s="3" cm="1">
        <f t="array" aca="1" ref="A64" ca="1">INDIRECT("A"&amp;ROW()-1)</f>
        <v>34</v>
      </c>
      <c r="B64" s="3" t="s">
        <v>858</v>
      </c>
      <c r="F64" s="55" t="str">
        <f>F63</f>
        <v>FALSE</v>
      </c>
      <c r="G64" s="5" t="s">
        <v>2</v>
      </c>
      <c r="H64" s="80">
        <v>2</v>
      </c>
      <c r="I64" s="7" t="b">
        <v>0</v>
      </c>
      <c r="J64" s="52" t="s">
        <v>387</v>
      </c>
      <c r="K64" s="51" t="s">
        <v>388</v>
      </c>
      <c r="L64" s="43"/>
      <c r="M64" s="43"/>
      <c r="N64" s="35" t="s">
        <v>260</v>
      </c>
    </row>
    <row r="65" spans="1:18" ht="31.2">
      <c r="A65" s="3" cm="1">
        <f t="array" aca="1" ref="A65" ca="1">INDIRECT("A"&amp;ROW()-1)+1</f>
        <v>35</v>
      </c>
      <c r="B65" s="3">
        <v>35</v>
      </c>
      <c r="C65" s="3" t="str">
        <f ca="1">A8&amp;"==模组 and "&amp;A44&amp;"==True"</f>
        <v>5==模组 and 23==True</v>
      </c>
      <c r="D65" s="4" t="s">
        <v>854</v>
      </c>
      <c r="E65" s="5" t="s">
        <v>5</v>
      </c>
      <c r="F65" s="56" t="s">
        <v>125</v>
      </c>
      <c r="G65" s="35" t="s">
        <v>263</v>
      </c>
      <c r="H65" s="80">
        <v>1</v>
      </c>
      <c r="I65" s="7" t="s">
        <v>58</v>
      </c>
      <c r="J65" s="34" t="s">
        <v>267</v>
      </c>
      <c r="K65" s="35" t="s">
        <v>285</v>
      </c>
      <c r="L65" s="43">
        <f>L44</f>
        <v>3</v>
      </c>
      <c r="M65" s="42" t="s">
        <v>341</v>
      </c>
      <c r="N65" s="59" t="s">
        <v>483</v>
      </c>
      <c r="R65" s="97" t="s">
        <v>894</v>
      </c>
    </row>
    <row r="66" spans="1:18" ht="31.2">
      <c r="A66" s="3" cm="1">
        <f t="array" aca="1" ref="A66" ca="1">INDIRECT("A"&amp;ROW()-1)</f>
        <v>35</v>
      </c>
      <c r="B66" s="3" t="s">
        <v>858</v>
      </c>
      <c r="F66" s="55" t="str">
        <f>F65</f>
        <v>TRUE</v>
      </c>
      <c r="G66" s="35" t="s">
        <v>262</v>
      </c>
      <c r="H66" s="80">
        <v>2</v>
      </c>
      <c r="I66" s="7" t="s">
        <v>60</v>
      </c>
      <c r="J66" s="34" t="s">
        <v>268</v>
      </c>
      <c r="K66" s="35" t="s">
        <v>285</v>
      </c>
      <c r="L66" s="43"/>
      <c r="M66" s="43"/>
      <c r="N66" s="59" t="s">
        <v>484</v>
      </c>
    </row>
    <row r="67" spans="1:18" ht="31.2">
      <c r="A67" s="3" cm="1">
        <f t="array" aca="1" ref="A67" ca="1">INDIRECT("A"&amp;ROW()-1)</f>
        <v>35</v>
      </c>
      <c r="B67" s="3" t="s">
        <v>858</v>
      </c>
      <c r="F67" s="55" t="str">
        <f>F66</f>
        <v>TRUE</v>
      </c>
      <c r="G67" s="35" t="s">
        <v>264</v>
      </c>
      <c r="H67" s="80">
        <v>3</v>
      </c>
      <c r="I67" s="7" t="s">
        <v>59</v>
      </c>
      <c r="J67" s="34" t="s">
        <v>269</v>
      </c>
      <c r="K67" s="35" t="s">
        <v>285</v>
      </c>
      <c r="L67" s="43"/>
      <c r="M67" s="43"/>
      <c r="N67" s="59" t="s">
        <v>485</v>
      </c>
    </row>
    <row r="68" spans="1:18" ht="90.6" customHeight="1">
      <c r="A68" s="3" cm="1">
        <f t="array" aca="1" ref="A68" ca="1">INDIRECT("A"&amp;ROW()-1)+1</f>
        <v>36</v>
      </c>
      <c r="B68" s="3">
        <v>36</v>
      </c>
      <c r="C68" s="3" t="str">
        <f ca="1">A8&amp;"==整机 and "&amp;A26&amp;"==True or "&amp;A8&amp;"==模组 and "&amp;A44&amp;"==True and "&amp;A46&amp;"!=指定"</f>
        <v>5==整机 and 14==True or 5==模组 and 23==True and 24!=指定</v>
      </c>
      <c r="D68" s="4" t="s">
        <v>855</v>
      </c>
      <c r="E68" s="5" t="s">
        <v>5</v>
      </c>
      <c r="F68" s="56" t="s">
        <v>134</v>
      </c>
      <c r="G68" s="35" t="s">
        <v>130</v>
      </c>
      <c r="H68" s="80">
        <v>1</v>
      </c>
      <c r="I68" s="40" t="s">
        <v>333</v>
      </c>
      <c r="J68" s="34" t="s">
        <v>265</v>
      </c>
      <c r="K68" s="35" t="s">
        <v>286</v>
      </c>
      <c r="L68" s="43">
        <f>L44</f>
        <v>3</v>
      </c>
      <c r="M68" s="85" t="s">
        <v>337</v>
      </c>
      <c r="N68" s="82" t="s">
        <v>773</v>
      </c>
      <c r="R68" s="97" t="s">
        <v>895</v>
      </c>
    </row>
    <row r="69" spans="1:18">
      <c r="A69" s="3" cm="1">
        <f t="array" aca="1" ref="A69" ca="1">INDIRECT("A"&amp;ROW()-1)</f>
        <v>36</v>
      </c>
      <c r="B69" s="3" t="s">
        <v>858</v>
      </c>
      <c r="F69" s="55" t="str">
        <f>F68</f>
        <v>FALSE</v>
      </c>
      <c r="G69" s="23" t="s">
        <v>131</v>
      </c>
      <c r="H69" s="80">
        <v>2</v>
      </c>
      <c r="I69" s="40" t="s">
        <v>332</v>
      </c>
      <c r="J69" s="34" t="s">
        <v>266</v>
      </c>
      <c r="K69" s="35" t="s">
        <v>286</v>
      </c>
      <c r="L69" s="43"/>
      <c r="M69" s="43"/>
      <c r="N69" s="82" t="s">
        <v>774</v>
      </c>
    </row>
    <row r="70" spans="1:18">
      <c r="A70" s="3" cm="1">
        <f t="array" aca="1" ref="A70" ca="1">INDIRECT("A"&amp;ROW()-1)</f>
        <v>36</v>
      </c>
      <c r="B70" s="3" t="s">
        <v>858</v>
      </c>
      <c r="F70" s="55" t="str">
        <f>F69</f>
        <v>FALSE</v>
      </c>
      <c r="G70" s="21" t="s">
        <v>161</v>
      </c>
      <c r="H70" s="80">
        <v>3</v>
      </c>
      <c r="I70" s="40" t="s">
        <v>334</v>
      </c>
      <c r="J70" s="34" t="s">
        <v>270</v>
      </c>
      <c r="K70" s="35" t="s">
        <v>286</v>
      </c>
      <c r="L70" s="43"/>
      <c r="M70" s="43"/>
      <c r="N70" s="82" t="s">
        <v>775</v>
      </c>
    </row>
    <row r="71" spans="1:18">
      <c r="A71" s="3" cm="1">
        <f t="array" aca="1" ref="A71" ca="1">INDIRECT("A"&amp;ROW()-1)</f>
        <v>36</v>
      </c>
      <c r="F71" s="55" t="str">
        <f>F70</f>
        <v>FALSE</v>
      </c>
      <c r="G71" s="112" t="s">
        <v>1047</v>
      </c>
      <c r="H71" s="111">
        <v>5</v>
      </c>
      <c r="I71" s="112" t="s">
        <v>1048</v>
      </c>
      <c r="J71" s="112" t="s">
        <v>1047</v>
      </c>
      <c r="K71" s="35" t="s">
        <v>286</v>
      </c>
      <c r="L71" s="43"/>
      <c r="M71" s="43"/>
      <c r="N71" s="112" t="s">
        <v>1049</v>
      </c>
    </row>
    <row r="72" spans="1:18">
      <c r="A72" s="3" cm="1">
        <f t="array" aca="1" ref="A72" ca="1">INDIRECT("A"&amp;ROW()-1)</f>
        <v>36</v>
      </c>
      <c r="B72" s="3" t="s">
        <v>858</v>
      </c>
      <c r="F72" s="55" t="str">
        <f>F70</f>
        <v>FALSE</v>
      </c>
      <c r="G72" s="84" t="s">
        <v>771</v>
      </c>
      <c r="H72" s="80">
        <v>4</v>
      </c>
      <c r="I72" s="82" t="s">
        <v>772</v>
      </c>
      <c r="J72" s="82" t="s">
        <v>771</v>
      </c>
      <c r="K72" s="84" t="s">
        <v>777</v>
      </c>
      <c r="L72" s="43"/>
      <c r="M72" s="43"/>
      <c r="N72" s="82" t="s">
        <v>776</v>
      </c>
    </row>
    <row r="73" spans="1:18" ht="31.2">
      <c r="A73" s="3" cm="1">
        <f t="array" aca="1" ref="A73" ca="1">INDIRECT("A"&amp;ROW()-1)+1</f>
        <v>37</v>
      </c>
      <c r="B73" s="3">
        <v>37</v>
      </c>
      <c r="C73" s="3" t="str">
        <f ca="1">A68&amp;"==定制检测"</f>
        <v>36==定制检测</v>
      </c>
      <c r="D73" s="4" t="s">
        <v>778</v>
      </c>
      <c r="E73" s="11" t="s">
        <v>145</v>
      </c>
      <c r="F73" s="45" t="s">
        <v>125</v>
      </c>
      <c r="H73" s="80">
        <v>1</v>
      </c>
      <c r="I73" s="15" t="s">
        <v>129</v>
      </c>
      <c r="J73" s="15"/>
      <c r="K73" s="84" t="s">
        <v>779</v>
      </c>
      <c r="L73" s="44">
        <f>L68</f>
        <v>3</v>
      </c>
      <c r="M73" s="85" t="s">
        <v>337</v>
      </c>
      <c r="O73" s="16"/>
      <c r="P73" s="8"/>
      <c r="Q73" s="9"/>
      <c r="R73" s="87" t="s">
        <v>856</v>
      </c>
    </row>
    <row r="74" spans="1:18" ht="62.4">
      <c r="A74" s="3" cm="1">
        <f t="array" aca="1" ref="A74" ca="1">INDIRECT("A"&amp;ROW()-1)+1</f>
        <v>38</v>
      </c>
      <c r="B74" s="3">
        <v>38</v>
      </c>
      <c r="C74" s="2" t="str">
        <f ca="1">A12&amp;"any['硬件'] and "&amp;A68&amp;"any['悬臂','接近开关','红外对射','定制检测']"</f>
        <v>7any['硬件'] and 36any['悬臂','接近开关','红外对射','定制检测']</v>
      </c>
      <c r="D74" s="4" t="s">
        <v>271</v>
      </c>
      <c r="E74" s="5" t="s">
        <v>5</v>
      </c>
      <c r="F74" s="56" t="s">
        <v>134</v>
      </c>
      <c r="G74" s="21" t="s">
        <v>162</v>
      </c>
      <c r="H74" s="80">
        <v>1</v>
      </c>
      <c r="I74" s="7" t="b">
        <v>1</v>
      </c>
      <c r="J74" s="52" t="s">
        <v>402</v>
      </c>
      <c r="K74" s="51"/>
      <c r="L74" s="43">
        <f>L68</f>
        <v>3</v>
      </c>
      <c r="M74" s="42" t="s">
        <v>337</v>
      </c>
      <c r="N74" s="58" t="s">
        <v>486</v>
      </c>
      <c r="R74" s="97" t="s">
        <v>896</v>
      </c>
    </row>
    <row r="75" spans="1:18">
      <c r="A75" s="3" cm="1">
        <f t="array" aca="1" ref="A75" ca="1">INDIRECT("A"&amp;ROW()-1)</f>
        <v>38</v>
      </c>
      <c r="B75" s="3" t="s">
        <v>858</v>
      </c>
      <c r="F75" s="55" t="str">
        <f>F74</f>
        <v>FALSE</v>
      </c>
      <c r="G75" s="82" t="s">
        <v>394</v>
      </c>
      <c r="H75" s="80">
        <v>2</v>
      </c>
      <c r="I75" s="7" t="b">
        <v>0</v>
      </c>
      <c r="J75" s="52" t="s">
        <v>393</v>
      </c>
      <c r="K75" s="88" t="s">
        <v>857</v>
      </c>
      <c r="L75" s="43"/>
      <c r="M75" s="43"/>
      <c r="N75" s="21" t="s">
        <v>163</v>
      </c>
    </row>
    <row r="76" spans="1:18">
      <c r="A76" s="3" cm="1">
        <f t="array" aca="1" ref="A76" ca="1">INDIRECT("A"&amp;ROW()-1)+1</f>
        <v>39</v>
      </c>
      <c r="B76" s="3">
        <v>39</v>
      </c>
      <c r="C76" s="17" t="str">
        <f ca="1">A74&amp;"==True"</f>
        <v>38==True</v>
      </c>
      <c r="D76" s="4" t="s">
        <v>272</v>
      </c>
      <c r="E76" s="11" t="s">
        <v>145</v>
      </c>
      <c r="F76" s="46" t="s">
        <v>125</v>
      </c>
      <c r="H76" s="80">
        <v>1</v>
      </c>
      <c r="I76" s="15" t="s">
        <v>129</v>
      </c>
      <c r="J76" s="15"/>
      <c r="K76" s="35" t="s">
        <v>287</v>
      </c>
      <c r="L76" s="44">
        <f>L74</f>
        <v>3</v>
      </c>
      <c r="M76" s="42" t="s">
        <v>337</v>
      </c>
      <c r="O76" s="16"/>
      <c r="P76" s="8"/>
      <c r="Q76" s="18"/>
      <c r="R76" s="97" t="s">
        <v>897</v>
      </c>
    </row>
    <row r="77" spans="1:18" ht="46.8">
      <c r="A77" s="3" cm="1">
        <f t="array" aca="1" ref="A77" ca="1">INDIRECT("A"&amp;ROW()-1)+1</f>
        <v>40</v>
      </c>
      <c r="B77" s="3">
        <v>40</v>
      </c>
      <c r="C77" s="3" t="str">
        <f ca="1">A26&amp;"==True"</f>
        <v>14==True</v>
      </c>
      <c r="D77" s="4" t="s">
        <v>258</v>
      </c>
      <c r="E77" s="5" t="s">
        <v>5</v>
      </c>
      <c r="F77" s="56" t="s">
        <v>134</v>
      </c>
      <c r="G77" s="5" t="s">
        <v>1</v>
      </c>
      <c r="H77" s="80">
        <v>1</v>
      </c>
      <c r="I77" s="7" t="b">
        <v>1</v>
      </c>
      <c r="J77" s="125" t="s">
        <v>1066</v>
      </c>
      <c r="K77" s="117" t="s">
        <v>383</v>
      </c>
      <c r="L77" s="42">
        <f>L44</f>
        <v>3</v>
      </c>
      <c r="M77" s="118" t="s">
        <v>344</v>
      </c>
      <c r="N77" s="58" t="s">
        <v>482</v>
      </c>
      <c r="R77" s="126" t="s">
        <v>1067</v>
      </c>
    </row>
    <row r="78" spans="1:18">
      <c r="A78" s="3" cm="1">
        <f t="array" aca="1" ref="A78" ca="1">INDIRECT("A"&amp;ROW()-1)</f>
        <v>40</v>
      </c>
      <c r="B78" s="3" t="s">
        <v>858</v>
      </c>
      <c r="F78" s="55" t="str">
        <f>F77</f>
        <v>FALSE</v>
      </c>
      <c r="G78" s="5" t="s">
        <v>2</v>
      </c>
      <c r="H78" s="80">
        <v>2</v>
      </c>
      <c r="I78" s="7" t="b">
        <v>0</v>
      </c>
      <c r="J78" s="117" t="s">
        <v>407</v>
      </c>
      <c r="K78" s="117" t="s">
        <v>1057</v>
      </c>
      <c r="L78" s="43"/>
      <c r="M78" s="43"/>
    </row>
    <row r="79" spans="1:18" ht="31.2">
      <c r="A79" s="3" cm="1">
        <f t="array" aca="1" ref="A79" ca="1">INDIRECT("A"&amp;ROW()-1)+1</f>
        <v>41</v>
      </c>
      <c r="B79" s="3">
        <v>41</v>
      </c>
      <c r="C79" s="17" t="str">
        <f ca="1">A77&amp;"==True"</f>
        <v>40==True</v>
      </c>
      <c r="D79" s="4" t="s">
        <v>259</v>
      </c>
      <c r="E79" s="11" t="s">
        <v>145</v>
      </c>
      <c r="F79" s="54" t="s">
        <v>125</v>
      </c>
      <c r="H79" s="80">
        <v>1</v>
      </c>
      <c r="I79" s="15" t="s">
        <v>129</v>
      </c>
      <c r="J79" s="15"/>
      <c r="K79" s="119" t="s">
        <v>1058</v>
      </c>
      <c r="L79" s="44">
        <f>L77</f>
        <v>3</v>
      </c>
      <c r="M79" s="42" t="s">
        <v>342</v>
      </c>
      <c r="O79" s="16"/>
      <c r="P79" s="8"/>
      <c r="Q79" s="18"/>
      <c r="R79" s="97" t="s">
        <v>898</v>
      </c>
    </row>
    <row r="80" spans="1:18" ht="31.2">
      <c r="A80" s="3" cm="1">
        <f t="array" aca="1" ref="A80" ca="1">INDIRECT("A"&amp;ROW()-1)+1</f>
        <v>42</v>
      </c>
      <c r="B80" s="3">
        <v>42</v>
      </c>
      <c r="C80" s="3" t="str">
        <f ca="1">A44&amp;"==True"</f>
        <v>23==True</v>
      </c>
      <c r="D80" s="4" t="s">
        <v>261</v>
      </c>
      <c r="E80" s="21" t="s">
        <v>5</v>
      </c>
      <c r="F80" s="56" t="s">
        <v>134</v>
      </c>
      <c r="G80" s="5" t="s">
        <v>1</v>
      </c>
      <c r="H80" s="80">
        <v>1</v>
      </c>
      <c r="I80" s="7" t="b">
        <v>1</v>
      </c>
      <c r="J80" s="52" t="s">
        <v>389</v>
      </c>
      <c r="K80" s="51" t="s">
        <v>390</v>
      </c>
      <c r="L80" s="43">
        <f>L44</f>
        <v>3</v>
      </c>
      <c r="M80" s="42" t="s">
        <v>341</v>
      </c>
      <c r="N80" s="51" t="s">
        <v>464</v>
      </c>
      <c r="R80" s="97" t="s">
        <v>899</v>
      </c>
    </row>
    <row r="81" spans="1:20">
      <c r="A81" s="3" cm="1">
        <f t="array" aca="1" ref="A81" ca="1">INDIRECT("A"&amp;ROW()-1)</f>
        <v>42</v>
      </c>
      <c r="B81" s="3" t="s">
        <v>858</v>
      </c>
      <c r="F81" s="55" t="str">
        <f>F80</f>
        <v>FALSE</v>
      </c>
      <c r="G81" s="5" t="s">
        <v>2</v>
      </c>
      <c r="H81" s="80">
        <v>2</v>
      </c>
      <c r="I81" s="7" t="b">
        <v>0</v>
      </c>
      <c r="J81" s="52" t="s">
        <v>257</v>
      </c>
      <c r="K81" s="51"/>
      <c r="L81" s="43"/>
      <c r="M81" s="43"/>
    </row>
    <row r="82" spans="1:20" ht="31.2">
      <c r="A82" s="3" cm="1">
        <f t="array" aca="1" ref="A82" ca="1">INDIRECT("A"&amp;ROW()-1)+1</f>
        <v>43</v>
      </c>
      <c r="B82" s="3">
        <v>43</v>
      </c>
      <c r="C82" s="3" t="str">
        <f ca="1">A44&amp;"==True"</f>
        <v>23==True</v>
      </c>
      <c r="D82" s="4" t="s">
        <v>118</v>
      </c>
      <c r="E82" s="5" t="s">
        <v>5</v>
      </c>
      <c r="F82" s="56" t="s">
        <v>134</v>
      </c>
      <c r="G82" s="5" t="s">
        <v>1</v>
      </c>
      <c r="H82" s="80">
        <v>1</v>
      </c>
      <c r="I82" s="7" t="b">
        <v>1</v>
      </c>
      <c r="J82" s="52" t="s">
        <v>392</v>
      </c>
      <c r="K82" s="51" t="s">
        <v>391</v>
      </c>
      <c r="L82" s="43">
        <f>L80</f>
        <v>3</v>
      </c>
      <c r="M82" s="42" t="s">
        <v>341</v>
      </c>
      <c r="N82" s="51" t="s">
        <v>465</v>
      </c>
      <c r="R82" s="19" t="s">
        <v>160</v>
      </c>
    </row>
    <row r="83" spans="1:20">
      <c r="A83" s="3" cm="1">
        <f t="array" aca="1" ref="A83" ca="1">INDIRECT("A"&amp;ROW()-1)</f>
        <v>43</v>
      </c>
      <c r="B83" s="3" t="s">
        <v>858</v>
      </c>
      <c r="F83" s="55" t="str">
        <f>F82</f>
        <v>FALSE</v>
      </c>
      <c r="G83" s="5" t="s">
        <v>2</v>
      </c>
      <c r="H83" s="80">
        <v>2</v>
      </c>
      <c r="I83" s="7" t="b">
        <v>0</v>
      </c>
      <c r="J83" s="34" t="s">
        <v>257</v>
      </c>
      <c r="K83" s="51"/>
      <c r="L83" s="43"/>
      <c r="M83" s="43"/>
    </row>
    <row r="84" spans="1:20" ht="31.2">
      <c r="A84" s="3" cm="1">
        <f t="array" aca="1" ref="A84" ca="1">INDIRECT("A"&amp;ROW()-1)+1</f>
        <v>44</v>
      </c>
      <c r="B84" s="3">
        <v>44</v>
      </c>
      <c r="C84" s="3" t="str">
        <f ca="1">A82&amp;"==True"</f>
        <v>43==True</v>
      </c>
      <c r="D84" s="4" t="s">
        <v>207</v>
      </c>
      <c r="E84" s="11" t="s">
        <v>146</v>
      </c>
      <c r="F84" s="45" t="s">
        <v>125</v>
      </c>
      <c r="H84" s="80">
        <v>1</v>
      </c>
      <c r="I84" s="15" t="s">
        <v>129</v>
      </c>
      <c r="J84" s="15"/>
      <c r="K84" s="50" t="s">
        <v>373</v>
      </c>
      <c r="L84" s="44">
        <f>L82</f>
        <v>3</v>
      </c>
      <c r="M84" s="42" t="s">
        <v>341</v>
      </c>
      <c r="O84" s="16"/>
      <c r="P84" s="8"/>
      <c r="Q84" s="22" t="s">
        <v>147</v>
      </c>
      <c r="R84" s="83" t="s">
        <v>766</v>
      </c>
      <c r="S84" s="93" t="s">
        <v>871</v>
      </c>
      <c r="T84" s="93" t="s">
        <v>871</v>
      </c>
    </row>
    <row r="85" spans="1:20" ht="31.2">
      <c r="A85" s="3" cm="1">
        <f t="array" aca="1" ref="A85" ca="1">INDIRECT("A"&amp;ROW()-1)+1</f>
        <v>45</v>
      </c>
      <c r="B85" s="3">
        <v>222</v>
      </c>
      <c r="C85" s="3" t="str">
        <f ca="1">A44&amp;"==True and "&amp;A68&amp;"!=普通"</f>
        <v>23==True and 36!=普通</v>
      </c>
      <c r="D85" s="4" t="s">
        <v>1065</v>
      </c>
      <c r="E85" s="21" t="s">
        <v>5</v>
      </c>
      <c r="F85" s="56" t="s">
        <v>134</v>
      </c>
      <c r="G85" s="5" t="s">
        <v>1</v>
      </c>
      <c r="H85" s="80">
        <v>1</v>
      </c>
      <c r="I85" s="7" t="b">
        <v>1</v>
      </c>
      <c r="J85" s="52" t="s">
        <v>389</v>
      </c>
      <c r="K85" s="122" t="s">
        <v>1064</v>
      </c>
      <c r="L85" s="43">
        <f>L49</f>
        <v>3</v>
      </c>
      <c r="M85" s="42" t="s">
        <v>341</v>
      </c>
      <c r="N85" s="122" t="s">
        <v>1062</v>
      </c>
      <c r="R85" s="124" t="s">
        <v>1063</v>
      </c>
    </row>
    <row r="86" spans="1:20" ht="31.2">
      <c r="A86" s="3" cm="1">
        <f t="array" aca="1" ref="A86" ca="1">INDIRECT("A"&amp;ROW()-1)</f>
        <v>45</v>
      </c>
      <c r="B86" s="3" t="s">
        <v>858</v>
      </c>
      <c r="F86" s="55" t="str">
        <f>F85</f>
        <v>FALSE</v>
      </c>
      <c r="G86" s="5" t="s">
        <v>2</v>
      </c>
      <c r="H86" s="80">
        <v>2</v>
      </c>
      <c r="I86" s="7" t="b">
        <v>0</v>
      </c>
      <c r="J86" s="123" t="s">
        <v>380</v>
      </c>
      <c r="K86" s="122" t="s">
        <v>1064</v>
      </c>
      <c r="L86" s="43"/>
      <c r="M86" s="43"/>
    </row>
    <row r="87" spans="1:20" ht="98.4" customHeight="1">
      <c r="A87" s="3" cm="1">
        <f t="array" aca="1" ref="A87" ca="1">INDIRECT("A"&amp;ROW()-1)+1</f>
        <v>46</v>
      </c>
      <c r="B87" s="3">
        <v>45</v>
      </c>
      <c r="C87" s="3" t="str">
        <f ca="1">A12&amp;"any['光学']"</f>
        <v>7any['光学']</v>
      </c>
      <c r="D87" s="4" t="s">
        <v>801</v>
      </c>
      <c r="E87" s="5" t="s">
        <v>5</v>
      </c>
      <c r="F87" s="56" t="s">
        <v>134</v>
      </c>
      <c r="G87" s="5" t="s">
        <v>1</v>
      </c>
      <c r="H87" s="80">
        <v>1</v>
      </c>
      <c r="I87" s="7" t="b">
        <v>1</v>
      </c>
      <c r="J87" s="86" t="s">
        <v>803</v>
      </c>
      <c r="K87" s="88" t="s">
        <v>802</v>
      </c>
      <c r="L87" s="43">
        <v>4</v>
      </c>
      <c r="M87" s="89" t="s">
        <v>55</v>
      </c>
      <c r="N87" s="88" t="s">
        <v>819</v>
      </c>
      <c r="R87" s="87" t="s">
        <v>820</v>
      </c>
    </row>
    <row r="88" spans="1:20">
      <c r="A88" s="3" cm="1">
        <f t="array" aca="1" ref="A88" ca="1">INDIRECT("A"&amp;ROW()-1)</f>
        <v>46</v>
      </c>
      <c r="B88" s="3" t="s">
        <v>858</v>
      </c>
      <c r="F88" s="55" t="str">
        <f>F87</f>
        <v>FALSE</v>
      </c>
      <c r="G88" s="5" t="s">
        <v>2</v>
      </c>
      <c r="H88" s="80">
        <v>2</v>
      </c>
      <c r="I88" s="7" t="b">
        <v>0</v>
      </c>
      <c r="J88" s="52" t="s">
        <v>257</v>
      </c>
      <c r="L88" s="43"/>
      <c r="M88" s="43"/>
    </row>
    <row r="89" spans="1:20" ht="31.2">
      <c r="A89" s="3" cm="1">
        <f t="array" aca="1" ref="A89" ca="1">INDIRECT("A"&amp;ROW()-1)+1</f>
        <v>47</v>
      </c>
      <c r="B89" s="3">
        <v>46</v>
      </c>
      <c r="C89" s="17" t="str">
        <f ca="1">A87&amp;"==True"</f>
        <v>46==True</v>
      </c>
      <c r="D89" s="4" t="s">
        <v>807</v>
      </c>
      <c r="E89" s="11" t="s">
        <v>145</v>
      </c>
      <c r="F89" s="54" t="s">
        <v>125</v>
      </c>
      <c r="H89" s="80">
        <v>1</v>
      </c>
      <c r="I89" s="15" t="s">
        <v>129</v>
      </c>
      <c r="J89" s="15"/>
      <c r="K89" s="88" t="s">
        <v>804</v>
      </c>
      <c r="L89" s="44">
        <f>L87</f>
        <v>4</v>
      </c>
      <c r="M89" s="89" t="s">
        <v>805</v>
      </c>
      <c r="O89" s="16"/>
      <c r="P89" s="8"/>
      <c r="Q89" s="18"/>
      <c r="R89" s="87" t="s">
        <v>806</v>
      </c>
      <c r="S89" s="88" t="s">
        <v>810</v>
      </c>
    </row>
    <row r="90" spans="1:20">
      <c r="A90" s="3" cm="1">
        <f t="array" aca="1" ref="A90" ca="1">INDIRECT("A"&amp;ROW()-1)+1</f>
        <v>48</v>
      </c>
      <c r="B90" s="3">
        <v>47</v>
      </c>
      <c r="C90" s="17" t="str">
        <f ca="1">A87&amp;"==True"</f>
        <v>46==True</v>
      </c>
      <c r="D90" s="4" t="s">
        <v>808</v>
      </c>
      <c r="E90" s="11" t="s">
        <v>145</v>
      </c>
      <c r="F90" s="54" t="s">
        <v>125</v>
      </c>
      <c r="H90" s="80">
        <v>1</v>
      </c>
      <c r="I90" s="15" t="s">
        <v>129</v>
      </c>
      <c r="J90" s="15"/>
      <c r="K90" s="88" t="s">
        <v>809</v>
      </c>
      <c r="L90" s="44">
        <f>L87</f>
        <v>4</v>
      </c>
      <c r="M90" s="89" t="s">
        <v>55</v>
      </c>
      <c r="O90" s="16"/>
      <c r="P90" s="8"/>
      <c r="Q90" s="18"/>
      <c r="R90" s="97" t="s">
        <v>900</v>
      </c>
      <c r="S90" s="96" t="s">
        <v>901</v>
      </c>
    </row>
    <row r="91" spans="1:20">
      <c r="A91" s="3" cm="1">
        <f t="array" aca="1" ref="A91" ca="1">INDIRECT("A"&amp;ROW()-1)+1</f>
        <v>49</v>
      </c>
      <c r="B91" s="3">
        <v>48</v>
      </c>
      <c r="C91" s="17" t="str">
        <f ca="1">A87&amp;"==True"</f>
        <v>46==True</v>
      </c>
      <c r="D91" s="4" t="s">
        <v>811</v>
      </c>
      <c r="E91" s="11" t="s">
        <v>145</v>
      </c>
      <c r="F91" s="54" t="s">
        <v>125</v>
      </c>
      <c r="H91" s="80">
        <v>1</v>
      </c>
      <c r="I91" s="15" t="s">
        <v>129</v>
      </c>
      <c r="J91" s="15"/>
      <c r="K91" s="88" t="s">
        <v>813</v>
      </c>
      <c r="L91" s="44">
        <f>L87</f>
        <v>4</v>
      </c>
      <c r="M91" s="89" t="s">
        <v>55</v>
      </c>
      <c r="O91" s="16"/>
      <c r="P91" s="8"/>
      <c r="Q91" s="18"/>
      <c r="R91" s="87" t="s">
        <v>815</v>
      </c>
      <c r="S91" s="88" t="s">
        <v>818</v>
      </c>
    </row>
    <row r="92" spans="1:20">
      <c r="A92" s="3" cm="1">
        <f t="array" aca="1" ref="A92" ca="1">INDIRECT("A"&amp;ROW()-1)+1</f>
        <v>50</v>
      </c>
      <c r="B92" s="3">
        <v>49</v>
      </c>
      <c r="C92" s="17" t="str">
        <f ca="1">A87&amp;"==True"</f>
        <v>46==True</v>
      </c>
      <c r="D92" s="4" t="s">
        <v>812</v>
      </c>
      <c r="E92" s="11" t="s">
        <v>145</v>
      </c>
      <c r="F92" s="54" t="s">
        <v>125</v>
      </c>
      <c r="H92" s="80">
        <v>1</v>
      </c>
      <c r="I92" s="15" t="s">
        <v>129</v>
      </c>
      <c r="J92" s="15"/>
      <c r="K92" s="88" t="s">
        <v>814</v>
      </c>
      <c r="L92" s="44">
        <f>L87</f>
        <v>4</v>
      </c>
      <c r="M92" s="89" t="s">
        <v>55</v>
      </c>
      <c r="O92" s="16"/>
      <c r="P92" s="8"/>
      <c r="Q92" s="18"/>
      <c r="R92" s="87" t="s">
        <v>816</v>
      </c>
      <c r="S92" s="88" t="s">
        <v>817</v>
      </c>
    </row>
    <row r="93" spans="1:20" ht="31.2">
      <c r="A93" s="3" cm="1">
        <f t="array" aca="1" ref="A93" ca="1">INDIRECT("A"&amp;ROW()-1)+1</f>
        <v>51</v>
      </c>
      <c r="B93" s="3">
        <v>50</v>
      </c>
      <c r="C93" s="3" t="str">
        <f ca="1">A12&amp;"any['光学'] and "&amp;A12&amp;"any['光源']"</f>
        <v>7any['光学'] and 7any['光源']</v>
      </c>
      <c r="D93" s="4" t="s">
        <v>902</v>
      </c>
      <c r="E93" s="5" t="s">
        <v>5</v>
      </c>
      <c r="F93" s="56" t="s">
        <v>134</v>
      </c>
      <c r="G93" s="5" t="s">
        <v>1</v>
      </c>
      <c r="H93" s="80">
        <v>1</v>
      </c>
      <c r="I93" s="7" t="b">
        <v>1</v>
      </c>
      <c r="J93" s="68" t="s">
        <v>625</v>
      </c>
      <c r="K93" s="70" t="s">
        <v>454</v>
      </c>
      <c r="L93" s="43">
        <v>5</v>
      </c>
      <c r="M93" s="71" t="s">
        <v>337</v>
      </c>
      <c r="R93" s="126" t="s">
        <v>1069</v>
      </c>
    </row>
    <row r="94" spans="1:20">
      <c r="A94" s="3" cm="1">
        <f t="array" aca="1" ref="A94" ca="1">INDIRECT("A"&amp;ROW()-1)</f>
        <v>51</v>
      </c>
      <c r="B94" s="3" t="s">
        <v>858</v>
      </c>
      <c r="F94" s="55" t="str">
        <f>F93</f>
        <v>FALSE</v>
      </c>
      <c r="G94" s="5" t="s">
        <v>2</v>
      </c>
      <c r="H94" s="80">
        <v>2</v>
      </c>
      <c r="I94" s="7" t="b">
        <v>0</v>
      </c>
      <c r="J94" s="125" t="s">
        <v>1068</v>
      </c>
      <c r="K94" s="70" t="s">
        <v>626</v>
      </c>
      <c r="L94" s="43"/>
      <c r="M94" s="43"/>
    </row>
    <row r="95" spans="1:20" ht="31.2">
      <c r="A95" s="3" cm="1">
        <f t="array" aca="1" ref="A95" ca="1">INDIRECT("A"&amp;ROW()-1)+1</f>
        <v>52</v>
      </c>
      <c r="B95" s="3">
        <v>51</v>
      </c>
      <c r="C95" s="17" t="str">
        <f ca="1">A93&amp;"==True"</f>
        <v>51==True</v>
      </c>
      <c r="D95" s="4" t="s">
        <v>628</v>
      </c>
      <c r="E95" s="11" t="s">
        <v>145</v>
      </c>
      <c r="F95" s="54" t="s">
        <v>125</v>
      </c>
      <c r="H95" s="80">
        <v>1</v>
      </c>
      <c r="I95" s="15" t="s">
        <v>129</v>
      </c>
      <c r="J95" s="15"/>
      <c r="K95" s="70" t="s">
        <v>627</v>
      </c>
      <c r="L95" s="44">
        <f>L93</f>
        <v>5</v>
      </c>
      <c r="M95" s="71" t="s">
        <v>337</v>
      </c>
      <c r="O95" s="16"/>
      <c r="P95" s="8"/>
      <c r="Q95" s="18"/>
      <c r="R95" s="97" t="s">
        <v>904</v>
      </c>
      <c r="S95" s="96" t="s">
        <v>903</v>
      </c>
    </row>
    <row r="96" spans="1:20" ht="46.8">
      <c r="A96" s="3" cm="1">
        <f t="array" aca="1" ref="A96" ca="1">INDIRECT("A"&amp;ROW()-1)+1</f>
        <v>53</v>
      </c>
      <c r="B96" s="3">
        <v>52</v>
      </c>
      <c r="C96" s="3" t="str">
        <f ca="1">A12&amp;"any['光学'] and "&amp;A12&amp;"any['光源']"</f>
        <v>7any['光学'] and 7any['光源']</v>
      </c>
      <c r="D96" s="4" t="s">
        <v>72</v>
      </c>
      <c r="E96" s="5" t="s">
        <v>5</v>
      </c>
      <c r="F96" s="56" t="s">
        <v>134</v>
      </c>
      <c r="G96" s="5" t="s">
        <v>1</v>
      </c>
      <c r="H96" s="80">
        <v>1</v>
      </c>
      <c r="I96" s="7" t="b">
        <v>1</v>
      </c>
      <c r="J96" s="52" t="s">
        <v>74</v>
      </c>
      <c r="K96" s="51" t="s">
        <v>395</v>
      </c>
      <c r="L96" s="43">
        <f>L93</f>
        <v>5</v>
      </c>
      <c r="M96" s="42" t="s">
        <v>337</v>
      </c>
      <c r="R96" s="97" t="s">
        <v>905</v>
      </c>
    </row>
    <row r="97" spans="1:18">
      <c r="A97" s="3" cm="1">
        <f t="array" aca="1" ref="A97" ca="1">INDIRECT("A"&amp;ROW()-1)</f>
        <v>53</v>
      </c>
      <c r="B97" s="3" t="s">
        <v>858</v>
      </c>
      <c r="F97" s="55" t="str">
        <f>F96</f>
        <v>FALSE</v>
      </c>
      <c r="G97" s="5" t="s">
        <v>2</v>
      </c>
      <c r="H97" s="80">
        <v>2</v>
      </c>
      <c r="I97" s="7" t="b">
        <v>0</v>
      </c>
      <c r="J97" s="34" t="s">
        <v>257</v>
      </c>
      <c r="K97" s="51"/>
      <c r="L97" s="43"/>
      <c r="M97" s="43"/>
      <c r="R97" s="83"/>
    </row>
    <row r="98" spans="1:18">
      <c r="A98" s="3" cm="1">
        <f t="array" aca="1" ref="A98" ca="1">INDIRECT("A"&amp;ROW()-1)+1</f>
        <v>54</v>
      </c>
      <c r="B98" s="3">
        <v>53</v>
      </c>
      <c r="C98" s="3" t="str">
        <f ca="1">A96&amp;"==True"</f>
        <v>53==True</v>
      </c>
      <c r="D98" s="4" t="s">
        <v>122</v>
      </c>
      <c r="E98" s="24" t="s">
        <v>128</v>
      </c>
      <c r="F98" s="56" t="s">
        <v>134</v>
      </c>
      <c r="H98" s="80">
        <v>1</v>
      </c>
      <c r="I98" s="15" t="s">
        <v>129</v>
      </c>
      <c r="J98" s="15"/>
      <c r="K98" s="35" t="s">
        <v>288</v>
      </c>
      <c r="L98" s="44">
        <f>L96</f>
        <v>5</v>
      </c>
      <c r="M98" s="42" t="s">
        <v>337</v>
      </c>
      <c r="O98" s="16"/>
      <c r="P98" s="16"/>
      <c r="Q98" s="9"/>
      <c r="R98" s="19" t="s">
        <v>164</v>
      </c>
    </row>
    <row r="99" spans="1:18">
      <c r="A99" s="3" cm="1">
        <f t="array" aca="1" ref="A99" ca="1">INDIRECT("A"&amp;ROW()-1)+1</f>
        <v>55</v>
      </c>
      <c r="B99" s="3">
        <v>54</v>
      </c>
      <c r="C99" s="3" t="str">
        <f ca="1">A97&amp;"==True"</f>
        <v>53==True</v>
      </c>
      <c r="D99" s="4" t="s">
        <v>278</v>
      </c>
      <c r="E99" s="25" t="s">
        <v>144</v>
      </c>
      <c r="F99" s="56" t="s">
        <v>134</v>
      </c>
      <c r="H99" s="80">
        <v>1</v>
      </c>
      <c r="I99" s="15" t="s">
        <v>129</v>
      </c>
      <c r="J99" s="15"/>
      <c r="K99" s="50" t="s">
        <v>358</v>
      </c>
      <c r="L99" s="44">
        <f>L96</f>
        <v>5</v>
      </c>
      <c r="M99" s="42" t="s">
        <v>337</v>
      </c>
      <c r="O99" s="16">
        <f ca="1">A98</f>
        <v>54</v>
      </c>
      <c r="P99" s="16"/>
      <c r="Q99" s="9"/>
      <c r="R99" s="97" t="s">
        <v>906</v>
      </c>
    </row>
    <row r="100" spans="1:18" ht="34.200000000000003" customHeight="1">
      <c r="A100" s="3" cm="1">
        <f t="array" aca="1" ref="A100" ca="1">INDIRECT("A"&amp;ROW()-1)+1</f>
        <v>56</v>
      </c>
      <c r="B100" s="3">
        <v>55</v>
      </c>
      <c r="C100" s="3" t="str">
        <f ca="1">A12&amp;"any['光学'] and "&amp;A12&amp;"any['光源']"</f>
        <v>7any['光学'] and 7any['光源']</v>
      </c>
      <c r="D100" s="4" t="s">
        <v>61</v>
      </c>
      <c r="E100" s="5" t="s">
        <v>5</v>
      </c>
      <c r="F100" s="56" t="s">
        <v>134</v>
      </c>
      <c r="G100" s="5" t="s">
        <v>1</v>
      </c>
      <c r="H100" s="80">
        <v>1</v>
      </c>
      <c r="I100" s="7" t="b">
        <v>1</v>
      </c>
      <c r="J100" s="52" t="s">
        <v>73</v>
      </c>
      <c r="K100" s="51" t="s">
        <v>395</v>
      </c>
      <c r="L100" s="43">
        <f>L93</f>
        <v>5</v>
      </c>
      <c r="M100" s="42" t="s">
        <v>337</v>
      </c>
      <c r="N100" s="35"/>
      <c r="R100" s="97" t="s">
        <v>165</v>
      </c>
    </row>
    <row r="101" spans="1:18">
      <c r="A101" s="3" cm="1">
        <f t="array" aca="1" ref="A101" ca="1">INDIRECT("A"&amp;ROW()-1)</f>
        <v>56</v>
      </c>
      <c r="B101" s="3" t="s">
        <v>858</v>
      </c>
      <c r="F101" s="55" t="str">
        <f>F100</f>
        <v>FALSE</v>
      </c>
      <c r="G101" s="5" t="s">
        <v>2</v>
      </c>
      <c r="H101" s="80">
        <v>2</v>
      </c>
      <c r="I101" s="7" t="b">
        <v>0</v>
      </c>
      <c r="J101" s="34" t="s">
        <v>257</v>
      </c>
      <c r="K101" s="51"/>
      <c r="L101" s="43"/>
      <c r="M101" s="43"/>
    </row>
    <row r="102" spans="1:18" ht="31.2">
      <c r="A102" s="3" cm="1">
        <f t="array" aca="1" ref="A102" ca="1">INDIRECT("A"&amp;ROW()-1)+1</f>
        <v>57</v>
      </c>
      <c r="B102" s="3">
        <v>56</v>
      </c>
      <c r="C102" s="3" t="str">
        <f ca="1">A12&amp;"any['光学'] and "&amp;A12&amp;"any['光源']"</f>
        <v>7any['光学'] and 7any['光源']</v>
      </c>
      <c r="D102" s="4" t="s">
        <v>276</v>
      </c>
      <c r="E102" s="5" t="s">
        <v>5</v>
      </c>
      <c r="F102" s="56" t="s">
        <v>134</v>
      </c>
      <c r="G102" s="5" t="s">
        <v>1</v>
      </c>
      <c r="H102" s="80">
        <v>1</v>
      </c>
      <c r="I102" s="7" t="b">
        <v>1</v>
      </c>
      <c r="J102" s="52" t="s">
        <v>279</v>
      </c>
      <c r="K102" s="51" t="s">
        <v>395</v>
      </c>
      <c r="L102" s="43">
        <f>L100</f>
        <v>5</v>
      </c>
      <c r="M102" s="42" t="s">
        <v>337</v>
      </c>
      <c r="N102" s="35"/>
      <c r="R102" s="97" t="s">
        <v>907</v>
      </c>
    </row>
    <row r="103" spans="1:18">
      <c r="A103" s="3" cm="1">
        <f t="array" aca="1" ref="A103" ca="1">INDIRECT("A"&amp;ROW()-1)</f>
        <v>57</v>
      </c>
      <c r="B103" s="3" t="s">
        <v>858</v>
      </c>
      <c r="F103" s="55" t="str">
        <f>F102</f>
        <v>FALSE</v>
      </c>
      <c r="G103" s="5" t="s">
        <v>2</v>
      </c>
      <c r="H103" s="80">
        <v>2</v>
      </c>
      <c r="I103" s="7" t="b">
        <v>0</v>
      </c>
      <c r="J103" s="34" t="s">
        <v>257</v>
      </c>
      <c r="L103" s="43"/>
      <c r="M103" s="43"/>
    </row>
    <row r="104" spans="1:18" ht="34.200000000000003" customHeight="1">
      <c r="A104" s="3" cm="1">
        <f t="array" aca="1" ref="A104" ca="1">INDIRECT("A"&amp;ROW()-1)+1</f>
        <v>58</v>
      </c>
      <c r="B104" s="3">
        <v>57</v>
      </c>
      <c r="C104" s="3" t="str">
        <f ca="1">A100&amp;"==True or "&amp;A102&amp;"==True"</f>
        <v>56==True or 57==True</v>
      </c>
      <c r="D104" s="4" t="s">
        <v>908</v>
      </c>
      <c r="E104" s="24" t="s">
        <v>128</v>
      </c>
      <c r="F104" s="56" t="s">
        <v>134</v>
      </c>
      <c r="H104" s="80">
        <v>1</v>
      </c>
      <c r="I104" s="15" t="s">
        <v>129</v>
      </c>
      <c r="J104" s="15"/>
      <c r="K104" s="35" t="s">
        <v>289</v>
      </c>
      <c r="L104" s="44">
        <f>L100</f>
        <v>5</v>
      </c>
      <c r="M104" s="42" t="s">
        <v>337</v>
      </c>
      <c r="O104" s="16"/>
      <c r="P104" s="16"/>
      <c r="Q104" s="9"/>
      <c r="R104" s="97" t="s">
        <v>909</v>
      </c>
    </row>
    <row r="105" spans="1:18" ht="34.200000000000003" customHeight="1">
      <c r="A105" s="3" cm="1">
        <f t="array" aca="1" ref="A105" ca="1">INDIRECT("A"&amp;ROW()-1)+1</f>
        <v>59</v>
      </c>
      <c r="B105" s="3">
        <v>58</v>
      </c>
      <c r="C105" s="3" t="str">
        <f ca="1">A100&amp;"==True or "&amp;A102&amp;"==True"</f>
        <v>56==True or 57==True</v>
      </c>
      <c r="D105" s="4" t="s">
        <v>277</v>
      </c>
      <c r="E105" s="25" t="s">
        <v>144</v>
      </c>
      <c r="F105" s="56" t="s">
        <v>134</v>
      </c>
      <c r="H105" s="80">
        <v>1</v>
      </c>
      <c r="I105" s="15" t="s">
        <v>129</v>
      </c>
      <c r="J105" s="15"/>
      <c r="K105" s="50" t="s">
        <v>359</v>
      </c>
      <c r="L105" s="44">
        <f>L100</f>
        <v>5</v>
      </c>
      <c r="M105" s="42" t="s">
        <v>337</v>
      </c>
      <c r="O105" s="16">
        <f ca="1">A104</f>
        <v>58</v>
      </c>
      <c r="P105" s="16"/>
      <c r="Q105" s="9"/>
      <c r="R105" s="97" t="s">
        <v>910</v>
      </c>
    </row>
    <row r="106" spans="1:18" ht="31.2">
      <c r="A106" s="3" cm="1">
        <f t="array" aca="1" ref="A106" ca="1">INDIRECT("A"&amp;ROW()-1)+1</f>
        <v>60</v>
      </c>
      <c r="B106" s="3">
        <v>59</v>
      </c>
      <c r="C106" s="3" t="str">
        <f ca="1">A96&amp;"==True"</f>
        <v>53==True</v>
      </c>
      <c r="D106" s="4" t="s">
        <v>75</v>
      </c>
      <c r="E106" s="5" t="s">
        <v>6</v>
      </c>
      <c r="F106" s="56" t="s">
        <v>134</v>
      </c>
      <c r="G106" s="5" t="s">
        <v>76</v>
      </c>
      <c r="H106" s="80">
        <v>1</v>
      </c>
      <c r="I106" s="7" t="s">
        <v>76</v>
      </c>
      <c r="J106" s="7" t="s">
        <v>76</v>
      </c>
      <c r="K106" s="84" t="s">
        <v>770</v>
      </c>
      <c r="L106" s="3">
        <f>L96</f>
        <v>5</v>
      </c>
      <c r="M106" s="42" t="s">
        <v>342</v>
      </c>
      <c r="R106" s="19" t="s">
        <v>168</v>
      </c>
    </row>
    <row r="107" spans="1:18" ht="31.2">
      <c r="A107" s="3" cm="1">
        <f t="array" aca="1" ref="A107" ca="1">INDIRECT("A"&amp;ROW()-1)</f>
        <v>60</v>
      </c>
      <c r="B107" s="3" t="s">
        <v>858</v>
      </c>
      <c r="F107" s="55" t="str">
        <f>F106</f>
        <v>FALSE</v>
      </c>
      <c r="G107" s="5" t="s">
        <v>79</v>
      </c>
      <c r="H107" s="80">
        <v>2</v>
      </c>
      <c r="I107" s="7" t="s">
        <v>77</v>
      </c>
      <c r="J107" s="7" t="s">
        <v>77</v>
      </c>
    </row>
    <row r="108" spans="1:18">
      <c r="A108" s="3" cm="1">
        <f t="array" aca="1" ref="A108" ca="1">INDIRECT("A"&amp;ROW()-1)</f>
        <v>60</v>
      </c>
      <c r="B108" s="3" t="s">
        <v>858</v>
      </c>
      <c r="F108" s="55" t="str">
        <f t="shared" ref="F108:F119" si="1">F107</f>
        <v>FALSE</v>
      </c>
      <c r="G108" s="5" t="s">
        <v>78</v>
      </c>
      <c r="H108" s="80">
        <v>3</v>
      </c>
      <c r="I108" s="7" t="s">
        <v>78</v>
      </c>
      <c r="J108" s="7" t="s">
        <v>78</v>
      </c>
    </row>
    <row r="109" spans="1:18">
      <c r="A109" s="3" cm="1">
        <f t="array" aca="1" ref="A109" ca="1">INDIRECT("A"&amp;ROW()-1)</f>
        <v>60</v>
      </c>
      <c r="B109" s="3" t="s">
        <v>858</v>
      </c>
      <c r="F109" s="55" t="str">
        <f t="shared" si="1"/>
        <v>FALSE</v>
      </c>
      <c r="G109" s="5" t="s">
        <v>63</v>
      </c>
      <c r="H109" s="80">
        <v>4</v>
      </c>
      <c r="I109" s="7" t="s">
        <v>63</v>
      </c>
      <c r="J109" s="7" t="s">
        <v>63</v>
      </c>
    </row>
    <row r="110" spans="1:18">
      <c r="A110" s="3" cm="1">
        <f t="array" aca="1" ref="A110" ca="1">INDIRECT("A"&amp;ROW()-1)</f>
        <v>60</v>
      </c>
      <c r="B110" s="3" t="s">
        <v>858</v>
      </c>
      <c r="F110" s="55" t="str">
        <f t="shared" si="1"/>
        <v>FALSE</v>
      </c>
      <c r="G110" s="5" t="s">
        <v>64</v>
      </c>
      <c r="H110" s="80">
        <v>5</v>
      </c>
      <c r="I110" s="7" t="s">
        <v>64</v>
      </c>
      <c r="J110" s="7" t="s">
        <v>64</v>
      </c>
    </row>
    <row r="111" spans="1:18">
      <c r="A111" s="3" cm="1">
        <f t="array" aca="1" ref="A111" ca="1">INDIRECT("A"&amp;ROW()-1)</f>
        <v>60</v>
      </c>
      <c r="B111" s="3" t="s">
        <v>858</v>
      </c>
      <c r="F111" s="55" t="str">
        <f t="shared" si="1"/>
        <v>FALSE</v>
      </c>
      <c r="G111" s="5" t="s">
        <v>85</v>
      </c>
      <c r="H111" s="80">
        <v>6</v>
      </c>
      <c r="I111" s="7" t="s">
        <v>85</v>
      </c>
      <c r="J111" s="7" t="s">
        <v>85</v>
      </c>
    </row>
    <row r="112" spans="1:18">
      <c r="A112" s="3" cm="1">
        <f t="array" aca="1" ref="A112" ca="1">INDIRECT("A"&amp;ROW()-1)</f>
        <v>60</v>
      </c>
      <c r="B112" s="3" t="s">
        <v>858</v>
      </c>
      <c r="F112" s="55" t="str">
        <f t="shared" si="1"/>
        <v>FALSE</v>
      </c>
      <c r="G112" s="5" t="s">
        <v>86</v>
      </c>
      <c r="H112" s="80">
        <v>7</v>
      </c>
      <c r="I112" s="7" t="s">
        <v>86</v>
      </c>
      <c r="J112" s="7" t="s">
        <v>86</v>
      </c>
    </row>
    <row r="113" spans="1:20">
      <c r="A113" s="3" cm="1">
        <f t="array" aca="1" ref="A113" ca="1">INDIRECT("A"&amp;ROW()-1)</f>
        <v>60</v>
      </c>
      <c r="B113" s="3" t="s">
        <v>858</v>
      </c>
      <c r="F113" s="55" t="str">
        <f t="shared" si="1"/>
        <v>FALSE</v>
      </c>
      <c r="G113" s="5" t="s">
        <v>87</v>
      </c>
      <c r="H113" s="80">
        <v>8</v>
      </c>
      <c r="I113" s="7" t="s">
        <v>87</v>
      </c>
      <c r="J113" s="7" t="s">
        <v>87</v>
      </c>
    </row>
    <row r="114" spans="1:20">
      <c r="A114" s="3" cm="1">
        <f t="array" aca="1" ref="A114" ca="1">INDIRECT("A"&amp;ROW()-1)</f>
        <v>60</v>
      </c>
      <c r="B114" s="3" t="s">
        <v>858</v>
      </c>
      <c r="F114" s="55" t="str">
        <f t="shared" si="1"/>
        <v>FALSE</v>
      </c>
      <c r="G114" s="21" t="s">
        <v>120</v>
      </c>
      <c r="H114" s="80">
        <v>9</v>
      </c>
      <c r="I114" s="20" t="s">
        <v>120</v>
      </c>
      <c r="J114" s="20" t="s">
        <v>120</v>
      </c>
      <c r="L114" s="45"/>
      <c r="M114" s="45"/>
    </row>
    <row r="115" spans="1:20">
      <c r="A115" s="3" cm="1">
        <f t="array" aca="1" ref="A115" ca="1">INDIRECT("A"&amp;ROW()-1)</f>
        <v>60</v>
      </c>
      <c r="B115" s="3" t="s">
        <v>858</v>
      </c>
      <c r="F115" s="55" t="str">
        <f t="shared" si="1"/>
        <v>FALSE</v>
      </c>
      <c r="G115" s="5" t="s">
        <v>88</v>
      </c>
      <c r="H115" s="80">
        <v>10</v>
      </c>
      <c r="I115" s="7" t="s">
        <v>88</v>
      </c>
      <c r="J115" s="7" t="s">
        <v>88</v>
      </c>
    </row>
    <row r="116" spans="1:20">
      <c r="A116" s="3" cm="1">
        <f t="array" aca="1" ref="A116" ca="1">INDIRECT("A"&amp;ROW()-1)</f>
        <v>60</v>
      </c>
      <c r="B116" s="3" t="s">
        <v>858</v>
      </c>
      <c r="F116" s="55" t="str">
        <f t="shared" si="1"/>
        <v>FALSE</v>
      </c>
      <c r="G116" s="5" t="s">
        <v>91</v>
      </c>
      <c r="H116" s="80">
        <v>11</v>
      </c>
      <c r="I116" s="7" t="s">
        <v>91</v>
      </c>
      <c r="J116" s="7" t="s">
        <v>91</v>
      </c>
    </row>
    <row r="117" spans="1:20">
      <c r="A117" s="3" cm="1">
        <f t="array" aca="1" ref="A117" ca="1">INDIRECT("A"&amp;ROW()-1)</f>
        <v>60</v>
      </c>
      <c r="B117" s="3" t="s">
        <v>858</v>
      </c>
      <c r="F117" s="55" t="str">
        <f t="shared" si="1"/>
        <v>FALSE</v>
      </c>
      <c r="G117" s="21" t="s">
        <v>166</v>
      </c>
      <c r="H117" s="80">
        <v>12</v>
      </c>
      <c r="I117" s="20" t="s">
        <v>166</v>
      </c>
      <c r="J117" s="20" t="s">
        <v>166</v>
      </c>
      <c r="L117" s="45"/>
      <c r="M117" s="45"/>
    </row>
    <row r="118" spans="1:20">
      <c r="A118" s="3" cm="1">
        <f t="array" aca="1" ref="A118" ca="1">INDIRECT("A"&amp;ROW()-1)</f>
        <v>60</v>
      </c>
      <c r="B118" s="3" t="s">
        <v>858</v>
      </c>
      <c r="F118" s="55" t="str">
        <f t="shared" si="1"/>
        <v>FALSE</v>
      </c>
      <c r="G118" s="5" t="s">
        <v>89</v>
      </c>
      <c r="H118" s="80">
        <v>13</v>
      </c>
      <c r="I118" s="7" t="s">
        <v>89</v>
      </c>
      <c r="J118" s="7" t="s">
        <v>89</v>
      </c>
    </row>
    <row r="119" spans="1:20">
      <c r="A119" s="3" cm="1">
        <f t="array" aca="1" ref="A119" ca="1">INDIRECT("A"&amp;ROW()-1)</f>
        <v>60</v>
      </c>
      <c r="B119" s="3" t="s">
        <v>858</v>
      </c>
      <c r="F119" s="55" t="str">
        <f t="shared" si="1"/>
        <v>FALSE</v>
      </c>
      <c r="G119" s="5" t="s">
        <v>90</v>
      </c>
      <c r="H119" s="80">
        <v>14</v>
      </c>
      <c r="I119" s="7" t="s">
        <v>90</v>
      </c>
      <c r="J119" s="7" t="s">
        <v>90</v>
      </c>
    </row>
    <row r="120" spans="1:20" ht="46.8">
      <c r="A120" s="3" cm="1">
        <f t="array" aca="1" ref="A120" ca="1">INDIRECT("A"&amp;ROW()-1)+1</f>
        <v>61</v>
      </c>
      <c r="B120" s="3">
        <v>60</v>
      </c>
      <c r="C120" s="3" t="str">
        <f ca="1">A106&amp;"any['峰值波长']"</f>
        <v>60any['峰值波长']</v>
      </c>
      <c r="D120" s="4" t="s">
        <v>208</v>
      </c>
      <c r="E120" s="68" t="s">
        <v>145</v>
      </c>
      <c r="F120" s="46" t="s">
        <v>125</v>
      </c>
      <c r="H120" s="80">
        <v>1</v>
      </c>
      <c r="I120" s="15" t="s">
        <v>129</v>
      </c>
      <c r="J120" s="15"/>
      <c r="K120" s="4" t="s">
        <v>360</v>
      </c>
      <c r="L120" s="44">
        <f>L106</f>
        <v>5</v>
      </c>
      <c r="M120" s="42" t="s">
        <v>342</v>
      </c>
      <c r="O120" s="16">
        <f ca="1">A98</f>
        <v>54</v>
      </c>
      <c r="P120" s="8">
        <f ca="1">A99</f>
        <v>55</v>
      </c>
      <c r="Q120" s="22" t="s">
        <v>147</v>
      </c>
      <c r="R120" s="97" t="s">
        <v>911</v>
      </c>
      <c r="S120" s="77" t="s">
        <v>750</v>
      </c>
      <c r="T120" s="77" t="s">
        <v>750</v>
      </c>
    </row>
    <row r="121" spans="1:20" ht="46.8">
      <c r="A121" s="3" cm="1">
        <f t="array" aca="1" ref="A121" ca="1">INDIRECT("A"&amp;ROW()-1)+1</f>
        <v>62</v>
      </c>
      <c r="B121" s="3">
        <v>61</v>
      </c>
      <c r="C121" s="3" t="str">
        <f ca="1">A106&amp;"any['主波长']"</f>
        <v>60any['主波长']</v>
      </c>
      <c r="D121" s="4" t="s">
        <v>209</v>
      </c>
      <c r="E121" s="68" t="s">
        <v>145</v>
      </c>
      <c r="F121" s="46" t="s">
        <v>125</v>
      </c>
      <c r="H121" s="80">
        <v>1</v>
      </c>
      <c r="I121" s="9" t="s">
        <v>129</v>
      </c>
      <c r="J121" s="9"/>
      <c r="K121" s="4" t="s">
        <v>361</v>
      </c>
      <c r="L121" s="44">
        <f>L106</f>
        <v>5</v>
      </c>
      <c r="M121" s="42" t="s">
        <v>342</v>
      </c>
      <c r="O121" s="16">
        <f ca="1">A98</f>
        <v>54</v>
      </c>
      <c r="P121" s="8">
        <f ca="1">A99</f>
        <v>55</v>
      </c>
      <c r="Q121" s="22" t="s">
        <v>147</v>
      </c>
      <c r="R121" s="97" t="s">
        <v>912</v>
      </c>
      <c r="S121" s="77" t="s">
        <v>750</v>
      </c>
      <c r="T121" s="77" t="s">
        <v>750</v>
      </c>
    </row>
    <row r="122" spans="1:20" ht="46.8">
      <c r="A122" s="3" cm="1">
        <f t="array" aca="1" ref="A122" ca="1">INDIRECT("A"&amp;ROW()-1)+1</f>
        <v>63</v>
      </c>
      <c r="B122" s="3">
        <v>62</v>
      </c>
      <c r="C122" s="3" t="str">
        <f ca="1">A106&amp;"any['半峰全宽']"</f>
        <v>60any['半峰全宽']</v>
      </c>
      <c r="D122" s="4" t="s">
        <v>210</v>
      </c>
      <c r="E122" s="68" t="s">
        <v>145</v>
      </c>
      <c r="F122" s="46" t="s">
        <v>125</v>
      </c>
      <c r="H122" s="80">
        <v>1</v>
      </c>
      <c r="I122" s="9" t="s">
        <v>129</v>
      </c>
      <c r="J122" s="9"/>
      <c r="K122" s="4" t="s">
        <v>362</v>
      </c>
      <c r="L122" s="44">
        <f>L106</f>
        <v>5</v>
      </c>
      <c r="M122" s="42" t="s">
        <v>342</v>
      </c>
      <c r="O122" s="16">
        <f ca="1">A98</f>
        <v>54</v>
      </c>
      <c r="P122" s="8">
        <f ca="1">A99</f>
        <v>55</v>
      </c>
      <c r="Q122" s="22" t="s">
        <v>147</v>
      </c>
      <c r="R122" s="97" t="s">
        <v>913</v>
      </c>
      <c r="S122" s="77" t="s">
        <v>750</v>
      </c>
      <c r="T122" s="77" t="s">
        <v>750</v>
      </c>
    </row>
    <row r="123" spans="1:20" ht="46.8">
      <c r="A123" s="3" cm="1">
        <f t="array" aca="1" ref="A123" ca="1">INDIRECT("A"&amp;ROW()-1)+1</f>
        <v>64</v>
      </c>
      <c r="B123" s="3">
        <v>63</v>
      </c>
      <c r="C123" s="3" t="str">
        <f ca="1">A106&amp;"any['光通量']"</f>
        <v>60any['光通量']</v>
      </c>
      <c r="D123" s="4" t="s">
        <v>211</v>
      </c>
      <c r="E123" s="68" t="s">
        <v>145</v>
      </c>
      <c r="F123" s="46" t="s">
        <v>125</v>
      </c>
      <c r="H123" s="80">
        <v>1</v>
      </c>
      <c r="I123" s="9" t="s">
        <v>129</v>
      </c>
      <c r="J123" s="9"/>
      <c r="K123" s="4" t="s">
        <v>363</v>
      </c>
      <c r="L123" s="44">
        <f>L106</f>
        <v>5</v>
      </c>
      <c r="M123" s="42" t="s">
        <v>342</v>
      </c>
      <c r="O123" s="16">
        <f ca="1">A98</f>
        <v>54</v>
      </c>
      <c r="P123" s="8">
        <f ca="1">A99</f>
        <v>55</v>
      </c>
      <c r="Q123" s="22" t="s">
        <v>147</v>
      </c>
      <c r="R123" s="97" t="s">
        <v>914</v>
      </c>
      <c r="S123" s="77" t="s">
        <v>751</v>
      </c>
      <c r="T123" s="93" t="s">
        <v>860</v>
      </c>
    </row>
    <row r="124" spans="1:20" ht="46.8">
      <c r="A124" s="3" cm="1">
        <f t="array" aca="1" ref="A124" ca="1">INDIRECT("A"&amp;ROW()-1)+1</f>
        <v>65</v>
      </c>
      <c r="B124" s="3">
        <v>64</v>
      </c>
      <c r="C124" s="3" t="str">
        <f ca="1">A106&amp;"any['光功率']"</f>
        <v>60any['光功率']</v>
      </c>
      <c r="D124" s="4" t="s">
        <v>212</v>
      </c>
      <c r="E124" s="68" t="s">
        <v>145</v>
      </c>
      <c r="F124" s="46" t="s">
        <v>125</v>
      </c>
      <c r="H124" s="80">
        <v>1</v>
      </c>
      <c r="I124" s="9" t="s">
        <v>129</v>
      </c>
      <c r="J124" s="9"/>
      <c r="K124" s="4" t="s">
        <v>364</v>
      </c>
      <c r="L124" s="44">
        <f>L106</f>
        <v>5</v>
      </c>
      <c r="M124" s="42" t="s">
        <v>342</v>
      </c>
      <c r="O124" s="16">
        <f ca="1">A98</f>
        <v>54</v>
      </c>
      <c r="P124" s="8">
        <f ca="1">A99</f>
        <v>55</v>
      </c>
      <c r="Q124" s="22" t="s">
        <v>147</v>
      </c>
      <c r="R124" s="97" t="s">
        <v>915</v>
      </c>
      <c r="S124" s="77" t="s">
        <v>752</v>
      </c>
      <c r="T124" s="93" t="s">
        <v>861</v>
      </c>
    </row>
    <row r="125" spans="1:20" ht="46.8">
      <c r="A125" s="3" cm="1">
        <f t="array" aca="1" ref="A125" ca="1">INDIRECT("A"&amp;ROW()-1)+1</f>
        <v>66</v>
      </c>
      <c r="B125" s="3">
        <v>65</v>
      </c>
      <c r="C125" s="3" t="str">
        <f ca="1">A106&amp;"any['照度']"</f>
        <v>60any['照度']</v>
      </c>
      <c r="D125" s="4" t="s">
        <v>213</v>
      </c>
      <c r="E125" s="68" t="s">
        <v>145</v>
      </c>
      <c r="F125" s="46" t="s">
        <v>125</v>
      </c>
      <c r="H125" s="80">
        <v>1</v>
      </c>
      <c r="I125" s="9" t="s">
        <v>129</v>
      </c>
      <c r="J125" s="9"/>
      <c r="K125" s="4" t="s">
        <v>536</v>
      </c>
      <c r="L125" s="44">
        <f>L106</f>
        <v>5</v>
      </c>
      <c r="M125" s="42" t="s">
        <v>342</v>
      </c>
      <c r="O125" s="16">
        <f ca="1">A98</f>
        <v>54</v>
      </c>
      <c r="P125" s="8">
        <f ca="1">A99</f>
        <v>55</v>
      </c>
      <c r="Q125" s="22" t="s">
        <v>147</v>
      </c>
      <c r="R125" s="97" t="s">
        <v>916</v>
      </c>
      <c r="S125" s="77" t="s">
        <v>761</v>
      </c>
      <c r="T125" s="93" t="s">
        <v>867</v>
      </c>
    </row>
    <row r="126" spans="1:20" ht="46.8">
      <c r="A126" s="3" cm="1">
        <f t="array" aca="1" ref="A126" ca="1">INDIRECT("A"&amp;ROW()-1)+1</f>
        <v>67</v>
      </c>
      <c r="B126" s="3">
        <v>66</v>
      </c>
      <c r="C126" s="3" t="str">
        <f ca="1">A106&amp;"any['辐照度']"</f>
        <v>60any['辐照度']</v>
      </c>
      <c r="D126" s="4" t="s">
        <v>214</v>
      </c>
      <c r="E126" s="68" t="s">
        <v>145</v>
      </c>
      <c r="F126" s="46" t="s">
        <v>125</v>
      </c>
      <c r="H126" s="80">
        <v>1</v>
      </c>
      <c r="I126" s="9" t="s">
        <v>129</v>
      </c>
      <c r="J126" s="9"/>
      <c r="K126" s="4" t="s">
        <v>537</v>
      </c>
      <c r="L126" s="44">
        <f>L106</f>
        <v>5</v>
      </c>
      <c r="M126" s="42" t="s">
        <v>342</v>
      </c>
      <c r="O126" s="16">
        <f ca="1">A98</f>
        <v>54</v>
      </c>
      <c r="P126" s="8">
        <f ca="1">A99</f>
        <v>55</v>
      </c>
      <c r="Q126" s="22" t="s">
        <v>147</v>
      </c>
      <c r="R126" s="97" t="s">
        <v>918</v>
      </c>
      <c r="S126" s="96" t="s">
        <v>762</v>
      </c>
      <c r="T126" s="93" t="s">
        <v>868</v>
      </c>
    </row>
    <row r="127" spans="1:20" ht="46.8">
      <c r="A127" s="3" cm="1">
        <f t="array" aca="1" ref="A127" ca="1">INDIRECT("A"&amp;ROW()-1)+1</f>
        <v>68</v>
      </c>
      <c r="B127" s="3">
        <v>67</v>
      </c>
      <c r="C127" s="3" t="str">
        <f ca="1">A107&amp;"any['亮度']"</f>
        <v>60any['亮度']</v>
      </c>
      <c r="D127" s="4" t="s">
        <v>219</v>
      </c>
      <c r="E127" s="68" t="s">
        <v>145</v>
      </c>
      <c r="F127" s="46" t="s">
        <v>125</v>
      </c>
      <c r="H127" s="80">
        <v>1</v>
      </c>
      <c r="I127" s="9" t="s">
        <v>129</v>
      </c>
      <c r="J127" s="9"/>
      <c r="K127" s="4" t="s">
        <v>538</v>
      </c>
      <c r="L127" s="44">
        <f>L106</f>
        <v>5</v>
      </c>
      <c r="M127" s="42" t="s">
        <v>342</v>
      </c>
      <c r="O127" s="16">
        <f ca="1">A98</f>
        <v>54</v>
      </c>
      <c r="P127" s="8">
        <f ca="1">A99</f>
        <v>55</v>
      </c>
      <c r="Q127" s="22" t="s">
        <v>147</v>
      </c>
      <c r="R127" s="97" t="s">
        <v>917</v>
      </c>
      <c r="S127" s="96" t="s">
        <v>763</v>
      </c>
      <c r="T127" s="93" t="s">
        <v>869</v>
      </c>
    </row>
    <row r="128" spans="1:20" ht="46.8">
      <c r="A128" s="3" cm="1">
        <f t="array" aca="1" ref="A128" ca="1">INDIRECT("A"&amp;ROW()-1)+1</f>
        <v>69</v>
      </c>
      <c r="B128" s="3">
        <v>68</v>
      </c>
      <c r="C128" s="3" t="str">
        <f ca="1">A106&amp;"any['光斑尺寸']"</f>
        <v>60any['光斑尺寸']</v>
      </c>
      <c r="D128" s="4" t="s">
        <v>215</v>
      </c>
      <c r="E128" s="68" t="s">
        <v>145</v>
      </c>
      <c r="F128" s="46" t="s">
        <v>125</v>
      </c>
      <c r="H128" s="80">
        <v>1</v>
      </c>
      <c r="I128" s="9" t="s">
        <v>129</v>
      </c>
      <c r="J128" s="9"/>
      <c r="K128" s="4" t="s">
        <v>539</v>
      </c>
      <c r="L128" s="44">
        <f>L106</f>
        <v>5</v>
      </c>
      <c r="M128" s="42" t="s">
        <v>342</v>
      </c>
      <c r="O128" s="16">
        <f ca="1">A98</f>
        <v>54</v>
      </c>
      <c r="P128" s="8">
        <f ca="1">A99</f>
        <v>55</v>
      </c>
      <c r="Q128" s="22" t="s">
        <v>147</v>
      </c>
      <c r="R128" s="97" t="s">
        <v>919</v>
      </c>
      <c r="S128" s="77" t="s">
        <v>764</v>
      </c>
      <c r="T128" s="77" t="s">
        <v>764</v>
      </c>
    </row>
    <row r="129" spans="1:20" ht="62.4">
      <c r="A129" s="3" cm="1">
        <f t="array" aca="1" ref="A129" ca="1">INDIRECT("A"&amp;ROW()-1)+1</f>
        <v>70</v>
      </c>
      <c r="B129" s="3">
        <v>69</v>
      </c>
      <c r="C129" s="3" t="str">
        <f ca="1">A106&amp;"any['光斑均匀性']"</f>
        <v>60any['光斑均匀性']</v>
      </c>
      <c r="D129" s="4" t="s">
        <v>216</v>
      </c>
      <c r="E129" s="21" t="s">
        <v>167</v>
      </c>
      <c r="F129" s="46" t="s">
        <v>125</v>
      </c>
      <c r="H129" s="80">
        <v>1</v>
      </c>
      <c r="I129" s="9" t="s">
        <v>129</v>
      </c>
      <c r="J129" s="9"/>
      <c r="K129" s="4" t="s">
        <v>927</v>
      </c>
      <c r="L129" s="42">
        <f>L106</f>
        <v>5</v>
      </c>
      <c r="M129" s="42" t="s">
        <v>342</v>
      </c>
      <c r="O129" s="16">
        <f ca="1">A98</f>
        <v>54</v>
      </c>
      <c r="P129" s="8">
        <f ca="1">A99</f>
        <v>55</v>
      </c>
      <c r="Q129" s="94" t="s">
        <v>148</v>
      </c>
      <c r="R129" s="97" t="s">
        <v>920</v>
      </c>
      <c r="S129" s="93" t="s">
        <v>746</v>
      </c>
    </row>
    <row r="130" spans="1:20" ht="46.8">
      <c r="A130" s="3" cm="1">
        <f t="array" aca="1" ref="A130" ca="1">INDIRECT("A"&amp;ROW()-1)+1</f>
        <v>71</v>
      </c>
      <c r="B130" s="3">
        <v>70</v>
      </c>
      <c r="C130" s="3" t="str">
        <f ca="1">A106&amp;"any['光强']"</f>
        <v>60any['光强']</v>
      </c>
      <c r="D130" s="4" t="s">
        <v>217</v>
      </c>
      <c r="E130" s="21" t="s">
        <v>145</v>
      </c>
      <c r="F130" s="46" t="s">
        <v>125</v>
      </c>
      <c r="H130" s="80">
        <v>1</v>
      </c>
      <c r="I130" s="9" t="s">
        <v>129</v>
      </c>
      <c r="J130" s="9"/>
      <c r="K130" s="4" t="s">
        <v>365</v>
      </c>
      <c r="L130" s="44">
        <f>L106</f>
        <v>5</v>
      </c>
      <c r="M130" s="42" t="s">
        <v>342</v>
      </c>
      <c r="O130" s="16">
        <f ca="1">A98</f>
        <v>54</v>
      </c>
      <c r="P130" s="8">
        <f ca="1">A99</f>
        <v>55</v>
      </c>
      <c r="Q130" s="22" t="s">
        <v>147</v>
      </c>
      <c r="R130" s="97" t="s">
        <v>922</v>
      </c>
      <c r="S130" s="77" t="s">
        <v>753</v>
      </c>
      <c r="T130" s="93" t="s">
        <v>862</v>
      </c>
    </row>
    <row r="131" spans="1:20" ht="46.8">
      <c r="A131" s="3" cm="1">
        <f t="array" aca="1" ref="A131" ca="1">INDIRECT("A"&amp;ROW()-1)+1</f>
        <v>72</v>
      </c>
      <c r="B131" s="3">
        <v>71</v>
      </c>
      <c r="C131" s="3" t="str">
        <f ca="1">A106&amp;"any['辐射强度']"</f>
        <v>60any['辐射强度']</v>
      </c>
      <c r="D131" s="4" t="s">
        <v>218</v>
      </c>
      <c r="E131" s="21" t="s">
        <v>145</v>
      </c>
      <c r="F131" s="46" t="s">
        <v>125</v>
      </c>
      <c r="H131" s="80">
        <v>1</v>
      </c>
      <c r="I131" s="9" t="s">
        <v>129</v>
      </c>
      <c r="J131" s="9"/>
      <c r="K131" s="4" t="s">
        <v>366</v>
      </c>
      <c r="L131" s="44">
        <f>L106</f>
        <v>5</v>
      </c>
      <c r="M131" s="42" t="s">
        <v>342</v>
      </c>
      <c r="O131" s="16">
        <f ca="1">A98</f>
        <v>54</v>
      </c>
      <c r="P131" s="8">
        <f ca="1">A99</f>
        <v>55</v>
      </c>
      <c r="Q131" s="22" t="s">
        <v>147</v>
      </c>
      <c r="R131" s="97" t="s">
        <v>923</v>
      </c>
      <c r="S131" s="96" t="s">
        <v>921</v>
      </c>
      <c r="T131" s="93" t="s">
        <v>866</v>
      </c>
    </row>
    <row r="132" spans="1:20" ht="46.8">
      <c r="A132" s="3" cm="1">
        <f t="array" aca="1" ref="A132" ca="1">INDIRECT("A"&amp;ROW()-1)+1</f>
        <v>73</v>
      </c>
      <c r="B132" s="3">
        <v>72</v>
      </c>
      <c r="C132" s="3" t="str">
        <f ca="1">A106&amp;"any['光束全角']"</f>
        <v>60any['光束全角']</v>
      </c>
      <c r="D132" s="4" t="s">
        <v>220</v>
      </c>
      <c r="E132" s="21" t="s">
        <v>145</v>
      </c>
      <c r="F132" s="46" t="s">
        <v>125</v>
      </c>
      <c r="H132" s="80">
        <v>1</v>
      </c>
      <c r="I132" s="9" t="s">
        <v>129</v>
      </c>
      <c r="J132" s="9"/>
      <c r="K132" s="4" t="s">
        <v>367</v>
      </c>
      <c r="L132" s="44">
        <f>L106</f>
        <v>5</v>
      </c>
      <c r="M132" s="42" t="s">
        <v>342</v>
      </c>
      <c r="O132" s="16">
        <f ca="1">A98</f>
        <v>54</v>
      </c>
      <c r="P132" s="8">
        <f ca="1">A99</f>
        <v>55</v>
      </c>
      <c r="Q132" s="22" t="s">
        <v>147</v>
      </c>
      <c r="R132" s="97" t="s">
        <v>924</v>
      </c>
      <c r="S132" s="77" t="s">
        <v>755</v>
      </c>
      <c r="T132" s="77" t="s">
        <v>755</v>
      </c>
    </row>
    <row r="133" spans="1:20" ht="46.8">
      <c r="A133" s="3" cm="1">
        <f t="array" aca="1" ref="A133" ca="1">INDIRECT("A"&amp;ROW()-1)+1</f>
        <v>74</v>
      </c>
      <c r="B133" s="3">
        <v>73</v>
      </c>
      <c r="C133" s="3" t="str">
        <f ca="1">A106&amp;"any['视场全角']"</f>
        <v>60any['视场全角']</v>
      </c>
      <c r="D133" s="4" t="s">
        <v>221</v>
      </c>
      <c r="E133" s="21" t="s">
        <v>145</v>
      </c>
      <c r="F133" s="46" t="s">
        <v>125</v>
      </c>
      <c r="H133" s="80">
        <v>1</v>
      </c>
      <c r="I133" s="9" t="s">
        <v>129</v>
      </c>
      <c r="J133" s="9"/>
      <c r="K133" s="4" t="s">
        <v>368</v>
      </c>
      <c r="L133" s="44">
        <f>L106</f>
        <v>5</v>
      </c>
      <c r="M133" s="42" t="s">
        <v>342</v>
      </c>
      <c r="O133" s="16">
        <f ca="1">A98</f>
        <v>54</v>
      </c>
      <c r="P133" s="8">
        <f ca="1">A99</f>
        <v>55</v>
      </c>
      <c r="Q133" s="22" t="s">
        <v>147</v>
      </c>
      <c r="R133" s="97" t="s">
        <v>925</v>
      </c>
      <c r="S133" s="77" t="s">
        <v>755</v>
      </c>
      <c r="T133" s="77" t="s">
        <v>755</v>
      </c>
    </row>
    <row r="134" spans="1:20" ht="31.2">
      <c r="A134" s="3" cm="1">
        <f t="array" aca="1" ref="A134" ca="1">INDIRECT("A"&amp;ROW()-1)+1</f>
        <v>75</v>
      </c>
      <c r="B134" s="3">
        <v>74</v>
      </c>
      <c r="C134" s="3" t="str">
        <f ca="1">A100&amp;"==True or "&amp;A102&amp;"==True"</f>
        <v>56==True or 57==True</v>
      </c>
      <c r="D134" s="4" t="s">
        <v>273</v>
      </c>
      <c r="E134" s="5" t="s">
        <v>6</v>
      </c>
      <c r="F134" s="56" t="s">
        <v>134</v>
      </c>
      <c r="G134" s="23" t="s">
        <v>62</v>
      </c>
      <c r="H134" s="80">
        <v>1</v>
      </c>
      <c r="I134" s="7" t="s">
        <v>67</v>
      </c>
      <c r="J134" s="7" t="s">
        <v>67</v>
      </c>
      <c r="K134" s="84" t="s">
        <v>769</v>
      </c>
      <c r="L134" s="3">
        <f>L104</f>
        <v>5</v>
      </c>
      <c r="M134" s="42" t="s">
        <v>342</v>
      </c>
      <c r="R134" s="19" t="s">
        <v>168</v>
      </c>
    </row>
    <row r="135" spans="1:20">
      <c r="A135" s="3" cm="1">
        <f t="array" aca="1" ref="A135" ca="1">INDIRECT("A"&amp;ROW()-1)</f>
        <v>75</v>
      </c>
      <c r="B135" s="3" t="s">
        <v>858</v>
      </c>
      <c r="F135" s="55" t="str">
        <f t="shared" ref="F135:F150" si="2">F134</f>
        <v>FALSE</v>
      </c>
      <c r="G135" s="21" t="s">
        <v>65</v>
      </c>
      <c r="H135" s="80">
        <v>2</v>
      </c>
      <c r="I135" s="7" t="s">
        <v>68</v>
      </c>
      <c r="J135" s="7" t="s">
        <v>68</v>
      </c>
    </row>
    <row r="136" spans="1:20">
      <c r="A136" s="3" cm="1">
        <f t="array" aca="1" ref="A136" ca="1">INDIRECT("A"&amp;ROW()-1)</f>
        <v>75</v>
      </c>
      <c r="B136" s="3" t="s">
        <v>858</v>
      </c>
      <c r="F136" s="55" t="str">
        <f t="shared" si="2"/>
        <v>FALSE</v>
      </c>
      <c r="G136" s="23" t="s">
        <v>66</v>
      </c>
      <c r="H136" s="80">
        <v>3</v>
      </c>
      <c r="I136" s="7" t="s">
        <v>69</v>
      </c>
      <c r="J136" s="34" t="s">
        <v>290</v>
      </c>
      <c r="L136" s="43"/>
      <c r="M136" s="43"/>
      <c r="N136" s="58"/>
    </row>
    <row r="137" spans="1:20">
      <c r="A137" s="3" cm="1">
        <f t="array" aca="1" ref="A137" ca="1">INDIRECT("A"&amp;ROW()-1)</f>
        <v>75</v>
      </c>
      <c r="B137" s="3" t="s">
        <v>858</v>
      </c>
      <c r="F137" s="55" t="str">
        <f t="shared" si="2"/>
        <v>FALSE</v>
      </c>
      <c r="G137" s="29" t="s">
        <v>70</v>
      </c>
      <c r="H137" s="80">
        <v>4</v>
      </c>
      <c r="I137" s="7" t="s">
        <v>71</v>
      </c>
      <c r="J137" s="7" t="s">
        <v>71</v>
      </c>
      <c r="N137" s="58"/>
    </row>
    <row r="138" spans="1:20">
      <c r="A138" s="3" cm="1">
        <f t="array" aca="1" ref="A138" ca="1">INDIRECT("A"&amp;ROW()-1)</f>
        <v>75</v>
      </c>
      <c r="B138" s="3" t="s">
        <v>858</v>
      </c>
      <c r="F138" s="55" t="str">
        <f t="shared" si="2"/>
        <v>FALSE</v>
      </c>
      <c r="G138" s="29" t="s">
        <v>226</v>
      </c>
      <c r="H138" s="80">
        <v>5</v>
      </c>
      <c r="I138" s="28" t="s">
        <v>227</v>
      </c>
      <c r="J138" s="28" t="s">
        <v>227</v>
      </c>
      <c r="L138" s="46"/>
      <c r="M138" s="46"/>
      <c r="N138" s="58"/>
    </row>
    <row r="139" spans="1:20">
      <c r="A139" s="3" cm="1">
        <f t="array" aca="1" ref="A139" ca="1">INDIRECT("A"&amp;ROW()-1)</f>
        <v>75</v>
      </c>
      <c r="B139" s="3" t="s">
        <v>858</v>
      </c>
      <c r="F139" s="55" t="str">
        <f t="shared" si="2"/>
        <v>FALSE</v>
      </c>
      <c r="G139" s="35" t="s">
        <v>274</v>
      </c>
      <c r="H139" s="80">
        <v>6</v>
      </c>
      <c r="I139" s="34" t="s">
        <v>274</v>
      </c>
      <c r="J139" s="34" t="s">
        <v>274</v>
      </c>
      <c r="L139" s="43"/>
      <c r="M139" s="43"/>
      <c r="N139" s="58"/>
    </row>
    <row r="140" spans="1:20">
      <c r="A140" s="3" cm="1">
        <f t="array" aca="1" ref="A140" ca="1">INDIRECT("A"&amp;ROW()-1)</f>
        <v>75</v>
      </c>
      <c r="B140" s="3" t="s">
        <v>858</v>
      </c>
      <c r="F140" s="55" t="str">
        <f t="shared" si="2"/>
        <v>FALSE</v>
      </c>
      <c r="G140" s="23" t="s">
        <v>63</v>
      </c>
      <c r="H140" s="80">
        <v>7</v>
      </c>
      <c r="I140" s="7" t="s">
        <v>63</v>
      </c>
      <c r="J140" s="7" t="s">
        <v>63</v>
      </c>
    </row>
    <row r="141" spans="1:20">
      <c r="A141" s="3" cm="1">
        <f t="array" aca="1" ref="A141" ca="1">INDIRECT("A"&amp;ROW()-1)</f>
        <v>75</v>
      </c>
      <c r="B141" s="3" t="s">
        <v>858</v>
      </c>
      <c r="F141" s="55" t="str">
        <f t="shared" si="2"/>
        <v>FALSE</v>
      </c>
      <c r="G141" s="23" t="s">
        <v>64</v>
      </c>
      <c r="H141" s="80">
        <v>8</v>
      </c>
      <c r="I141" s="7" t="s">
        <v>64</v>
      </c>
      <c r="J141" s="7" t="s">
        <v>64</v>
      </c>
    </row>
    <row r="142" spans="1:20">
      <c r="A142" s="3" cm="1">
        <f t="array" aca="1" ref="A142" ca="1">INDIRECT("A"&amp;ROW()-1)</f>
        <v>75</v>
      </c>
      <c r="B142" s="3" t="s">
        <v>858</v>
      </c>
      <c r="F142" s="55" t="str">
        <f t="shared" si="2"/>
        <v>FALSE</v>
      </c>
      <c r="G142" s="23" t="s">
        <v>85</v>
      </c>
      <c r="H142" s="80">
        <v>9</v>
      </c>
      <c r="I142" s="7" t="s">
        <v>85</v>
      </c>
      <c r="J142" s="7" t="s">
        <v>85</v>
      </c>
    </row>
    <row r="143" spans="1:20">
      <c r="A143" s="3" cm="1">
        <f t="array" aca="1" ref="A143" ca="1">INDIRECT("A"&amp;ROW()-1)</f>
        <v>75</v>
      </c>
      <c r="B143" s="3" t="s">
        <v>858</v>
      </c>
      <c r="F143" s="55" t="str">
        <f t="shared" si="2"/>
        <v>FALSE</v>
      </c>
      <c r="G143" s="23" t="s">
        <v>86</v>
      </c>
      <c r="H143" s="80">
        <v>10</v>
      </c>
      <c r="I143" s="7" t="s">
        <v>86</v>
      </c>
      <c r="J143" s="7" t="s">
        <v>86</v>
      </c>
    </row>
    <row r="144" spans="1:20">
      <c r="A144" s="3" cm="1">
        <f t="array" aca="1" ref="A144" ca="1">INDIRECT("A"&amp;ROW()-1)</f>
        <v>75</v>
      </c>
      <c r="B144" s="3" t="s">
        <v>858</v>
      </c>
      <c r="F144" s="55" t="str">
        <f t="shared" si="2"/>
        <v>FALSE</v>
      </c>
      <c r="G144" s="23" t="s">
        <v>87</v>
      </c>
      <c r="H144" s="80">
        <v>11</v>
      </c>
      <c r="I144" s="7" t="s">
        <v>87</v>
      </c>
      <c r="J144" s="7" t="s">
        <v>87</v>
      </c>
    </row>
    <row r="145" spans="1:20">
      <c r="A145" s="3" cm="1">
        <f t="array" aca="1" ref="A145" ca="1">INDIRECT("A"&amp;ROW()-1)</f>
        <v>75</v>
      </c>
      <c r="B145" s="3" t="s">
        <v>858</v>
      </c>
      <c r="F145" s="55" t="str">
        <f t="shared" si="2"/>
        <v>FALSE</v>
      </c>
      <c r="G145" s="23" t="s">
        <v>120</v>
      </c>
      <c r="H145" s="80">
        <v>12</v>
      </c>
      <c r="I145" s="53" t="s">
        <v>480</v>
      </c>
      <c r="J145" s="7" t="s">
        <v>480</v>
      </c>
    </row>
    <row r="146" spans="1:20">
      <c r="A146" s="3" cm="1">
        <f t="array" aca="1" ref="A146" ca="1">INDIRECT("A"&amp;ROW()-1)</f>
        <v>75</v>
      </c>
      <c r="B146" s="3" t="s">
        <v>858</v>
      </c>
      <c r="F146" s="55" t="str">
        <f t="shared" si="2"/>
        <v>FALSE</v>
      </c>
      <c r="G146" s="23" t="s">
        <v>88</v>
      </c>
      <c r="H146" s="80">
        <v>13</v>
      </c>
      <c r="I146" s="7" t="s">
        <v>88</v>
      </c>
      <c r="J146" s="7" t="s">
        <v>88</v>
      </c>
    </row>
    <row r="147" spans="1:20">
      <c r="A147" s="3" cm="1">
        <f t="array" aca="1" ref="A147" ca="1">INDIRECT("A"&amp;ROW()-1)</f>
        <v>75</v>
      </c>
      <c r="B147" s="3" t="s">
        <v>858</v>
      </c>
      <c r="F147" s="55" t="str">
        <f t="shared" si="2"/>
        <v>FALSE</v>
      </c>
      <c r="G147" s="23" t="s">
        <v>91</v>
      </c>
      <c r="H147" s="80">
        <v>14</v>
      </c>
      <c r="I147" s="7" t="s">
        <v>91</v>
      </c>
      <c r="J147" s="7" t="s">
        <v>91</v>
      </c>
    </row>
    <row r="148" spans="1:20">
      <c r="A148" s="3" cm="1">
        <f t="array" aca="1" ref="A148" ca="1">INDIRECT("A"&amp;ROW()-1)</f>
        <v>75</v>
      </c>
      <c r="B148" s="3" t="s">
        <v>858</v>
      </c>
      <c r="F148" s="55" t="str">
        <f t="shared" si="2"/>
        <v>FALSE</v>
      </c>
      <c r="G148" s="21" t="s">
        <v>166</v>
      </c>
      <c r="H148" s="80">
        <v>15</v>
      </c>
      <c r="I148" s="20" t="s">
        <v>166</v>
      </c>
      <c r="J148" s="20" t="s">
        <v>166</v>
      </c>
      <c r="L148" s="45"/>
      <c r="M148" s="45"/>
      <c r="N148" s="58"/>
    </row>
    <row r="149" spans="1:20">
      <c r="A149" s="3" cm="1">
        <f t="array" aca="1" ref="A149" ca="1">INDIRECT("A"&amp;ROW()-1)</f>
        <v>75</v>
      </c>
      <c r="B149" s="3" t="s">
        <v>858</v>
      </c>
      <c r="F149" s="55" t="str">
        <f t="shared" si="2"/>
        <v>FALSE</v>
      </c>
      <c r="G149" s="23" t="s">
        <v>89</v>
      </c>
      <c r="H149" s="80">
        <v>16</v>
      </c>
      <c r="I149" s="7" t="s">
        <v>89</v>
      </c>
      <c r="J149" s="7" t="s">
        <v>89</v>
      </c>
      <c r="N149" s="58"/>
    </row>
    <row r="150" spans="1:20">
      <c r="A150" s="3" cm="1">
        <f t="array" aca="1" ref="A150" ca="1">INDIRECT("A"&amp;ROW()-1)</f>
        <v>75</v>
      </c>
      <c r="B150" s="3" t="s">
        <v>858</v>
      </c>
      <c r="F150" s="55" t="str">
        <f t="shared" si="2"/>
        <v>FALSE</v>
      </c>
      <c r="G150" s="23" t="s">
        <v>90</v>
      </c>
      <c r="H150" s="80">
        <v>17</v>
      </c>
      <c r="I150" s="7" t="s">
        <v>90</v>
      </c>
      <c r="J150" s="7" t="s">
        <v>90</v>
      </c>
      <c r="N150" s="58"/>
    </row>
    <row r="151" spans="1:20" ht="46.8">
      <c r="A151" s="3" cm="1">
        <f t="array" aca="1" ref="A151" ca="1">INDIRECT("A"&amp;ROW()-1)+1</f>
        <v>76</v>
      </c>
      <c r="B151" s="3">
        <v>75</v>
      </c>
      <c r="C151" s="3" t="str">
        <f ca="1">A134&amp;"any['CCT']"</f>
        <v>75any['CCT']</v>
      </c>
      <c r="D151" s="4" t="s">
        <v>222</v>
      </c>
      <c r="E151" s="21" t="s">
        <v>145</v>
      </c>
      <c r="F151" s="46" t="s">
        <v>125</v>
      </c>
      <c r="H151" s="80">
        <v>1</v>
      </c>
      <c r="I151" s="15" t="s">
        <v>129</v>
      </c>
      <c r="J151" s="15"/>
      <c r="K151" s="4" t="s">
        <v>369</v>
      </c>
      <c r="L151" s="44">
        <f>L134</f>
        <v>5</v>
      </c>
      <c r="M151" s="42" t="s">
        <v>342</v>
      </c>
      <c r="O151" s="16">
        <f ca="1">A104</f>
        <v>58</v>
      </c>
      <c r="P151" s="8">
        <f ca="1">A105</f>
        <v>59</v>
      </c>
      <c r="Q151" s="22" t="s">
        <v>147</v>
      </c>
      <c r="R151" s="97" t="s">
        <v>926</v>
      </c>
      <c r="S151" s="77" t="s">
        <v>756</v>
      </c>
      <c r="T151" s="77" t="s">
        <v>756</v>
      </c>
    </row>
    <row r="152" spans="1:20">
      <c r="A152" s="3" cm="1">
        <f t="array" aca="1" ref="A152" ca="1">INDIRECT("A"&amp;ROW()-1)+1</f>
        <v>77</v>
      </c>
      <c r="B152" s="3">
        <v>76</v>
      </c>
      <c r="C152" s="3" t="str">
        <f ca="1">A134&amp;"any['Ra']"</f>
        <v>75any['Ra']</v>
      </c>
      <c r="D152" s="4" t="s">
        <v>223</v>
      </c>
      <c r="E152" s="21" t="s">
        <v>145</v>
      </c>
      <c r="F152" s="46" t="s">
        <v>125</v>
      </c>
      <c r="H152" s="80">
        <v>1</v>
      </c>
      <c r="I152" s="9" t="s">
        <v>129</v>
      </c>
      <c r="J152" s="9"/>
      <c r="K152" s="4" t="s">
        <v>929</v>
      </c>
      <c r="L152" s="16">
        <f>L134</f>
        <v>5</v>
      </c>
      <c r="M152" s="42" t="s">
        <v>342</v>
      </c>
      <c r="O152" s="16">
        <f ca="1">A104</f>
        <v>58</v>
      </c>
      <c r="P152" s="8">
        <f ca="1">A105</f>
        <v>59</v>
      </c>
      <c r="Q152" s="22" t="s">
        <v>148</v>
      </c>
      <c r="R152" s="97" t="s">
        <v>931</v>
      </c>
      <c r="S152" s="77" t="s">
        <v>746</v>
      </c>
    </row>
    <row r="153" spans="1:20">
      <c r="A153" s="3" cm="1">
        <f t="array" aca="1" ref="A153" ca="1">INDIRECT("A"&amp;ROW()-1)+1</f>
        <v>78</v>
      </c>
      <c r="B153" s="3">
        <v>77</v>
      </c>
      <c r="C153" s="3" t="str">
        <f ca="1">A134&amp;"any['R9']"</f>
        <v>75any['R9']</v>
      </c>
      <c r="D153" s="4" t="s">
        <v>224</v>
      </c>
      <c r="E153" s="21" t="s">
        <v>145</v>
      </c>
      <c r="F153" s="46" t="s">
        <v>125</v>
      </c>
      <c r="H153" s="80">
        <v>1</v>
      </c>
      <c r="I153" s="9" t="s">
        <v>129</v>
      </c>
      <c r="J153" s="9"/>
      <c r="K153" s="4" t="s">
        <v>930</v>
      </c>
      <c r="L153" s="16">
        <f>L134</f>
        <v>5</v>
      </c>
      <c r="M153" s="42" t="s">
        <v>342</v>
      </c>
      <c r="O153" s="16">
        <f ca="1">A104</f>
        <v>58</v>
      </c>
      <c r="P153" s="8">
        <f ca="1">A105</f>
        <v>59</v>
      </c>
      <c r="Q153" s="22" t="s">
        <v>148</v>
      </c>
      <c r="R153" s="97" t="s">
        <v>931</v>
      </c>
      <c r="S153" s="77" t="s">
        <v>746</v>
      </c>
    </row>
    <row r="154" spans="1:20" ht="46.8">
      <c r="A154" s="3" cm="1">
        <f t="array" aca="1" ref="A154" ca="1">INDIRECT("A"&amp;ROW()-1)+1</f>
        <v>79</v>
      </c>
      <c r="B154" s="3">
        <v>78</v>
      </c>
      <c r="C154" s="3" t="str">
        <f ca="1">A134&amp;"any['CIExy']"</f>
        <v>75any['CIExy']</v>
      </c>
      <c r="D154" s="4" t="s">
        <v>225</v>
      </c>
      <c r="E154" s="21" t="s">
        <v>167</v>
      </c>
      <c r="F154" s="46" t="s">
        <v>125</v>
      </c>
      <c r="H154" s="80">
        <v>1</v>
      </c>
      <c r="I154" s="9" t="s">
        <v>129</v>
      </c>
      <c r="J154" s="9"/>
      <c r="K154" s="4" t="s">
        <v>374</v>
      </c>
      <c r="L154" s="16">
        <f>L134</f>
        <v>5</v>
      </c>
      <c r="M154" s="42" t="s">
        <v>342</v>
      </c>
      <c r="O154" s="16">
        <f ca="1">A104</f>
        <v>58</v>
      </c>
      <c r="P154" s="8">
        <f ca="1">A105</f>
        <v>59</v>
      </c>
      <c r="Q154" s="22"/>
      <c r="R154" s="97" t="s">
        <v>932</v>
      </c>
      <c r="S154" s="77" t="s">
        <v>746</v>
      </c>
    </row>
    <row r="155" spans="1:20" ht="46.8">
      <c r="A155" s="3" cm="1">
        <f t="array" aca="1" ref="A155" ca="1">INDIRECT("A"&amp;ROW()-1)+1</f>
        <v>80</v>
      </c>
      <c r="B155" s="3">
        <v>79</v>
      </c>
      <c r="C155" s="3" t="str">
        <f ca="1">A134&amp;"any['CIEuv']"</f>
        <v>75any['CIEuv']</v>
      </c>
      <c r="D155" s="4" t="s">
        <v>228</v>
      </c>
      <c r="E155" s="21" t="s">
        <v>145</v>
      </c>
      <c r="F155" s="46" t="s">
        <v>125</v>
      </c>
      <c r="H155" s="80">
        <v>1</v>
      </c>
      <c r="I155" s="9" t="s">
        <v>129</v>
      </c>
      <c r="J155" s="9"/>
      <c r="K155" s="4" t="s">
        <v>375</v>
      </c>
      <c r="L155" s="16">
        <f>L134</f>
        <v>5</v>
      </c>
      <c r="M155" s="42" t="s">
        <v>342</v>
      </c>
      <c r="O155" s="16">
        <f ca="1">A104</f>
        <v>58</v>
      </c>
      <c r="P155" s="8">
        <f ca="1">A105</f>
        <v>59</v>
      </c>
      <c r="Q155" s="22"/>
      <c r="R155" s="97" t="s">
        <v>933</v>
      </c>
      <c r="S155" s="77" t="s">
        <v>746</v>
      </c>
    </row>
    <row r="156" spans="1:20" ht="46.8">
      <c r="A156" s="3" cm="1">
        <f t="array" aca="1" ref="A156" ca="1">INDIRECT("A"&amp;ROW()-1)+1</f>
        <v>81</v>
      </c>
      <c r="B156" s="3">
        <v>80</v>
      </c>
      <c r="C156" s="3" t="str">
        <f ca="1">A134&amp;"any['光谱峰值比']"</f>
        <v>75any['光谱峰值比']</v>
      </c>
      <c r="D156" s="4" t="s">
        <v>275</v>
      </c>
      <c r="E156" s="21" t="s">
        <v>145</v>
      </c>
      <c r="F156" s="46" t="s">
        <v>125</v>
      </c>
      <c r="H156" s="80">
        <v>1</v>
      </c>
      <c r="I156" s="9" t="s">
        <v>129</v>
      </c>
      <c r="J156" s="9"/>
      <c r="K156" s="4" t="s">
        <v>370</v>
      </c>
      <c r="L156" s="16">
        <f>L134</f>
        <v>5</v>
      </c>
      <c r="M156" s="42" t="s">
        <v>342</v>
      </c>
      <c r="O156" s="16">
        <f ca="1">A104</f>
        <v>58</v>
      </c>
      <c r="P156" s="8">
        <f ca="1">A105</f>
        <v>59</v>
      </c>
      <c r="Q156" s="22" t="s">
        <v>147</v>
      </c>
      <c r="R156" s="97" t="s">
        <v>934</v>
      </c>
      <c r="S156" s="77" t="s">
        <v>746</v>
      </c>
      <c r="T156" s="93" t="s">
        <v>865</v>
      </c>
    </row>
    <row r="157" spans="1:20" ht="46.8">
      <c r="A157" s="3" cm="1">
        <f t="array" aca="1" ref="A157" ca="1">INDIRECT("A"&amp;ROW()-1)+1</f>
        <v>82</v>
      </c>
      <c r="B157" s="3">
        <v>81</v>
      </c>
      <c r="C157" s="3" t="str">
        <f ca="1">A134&amp;"any['光通量']"</f>
        <v>75any['光通量']</v>
      </c>
      <c r="D157" s="4" t="s">
        <v>211</v>
      </c>
      <c r="E157" s="21" t="s">
        <v>145</v>
      </c>
      <c r="F157" s="46" t="s">
        <v>125</v>
      </c>
      <c r="H157" s="80">
        <v>1</v>
      </c>
      <c r="I157" s="9" t="s">
        <v>129</v>
      </c>
      <c r="J157" s="9"/>
      <c r="K157" s="4" t="s">
        <v>363</v>
      </c>
      <c r="L157" s="16">
        <f>L134</f>
        <v>5</v>
      </c>
      <c r="M157" s="42" t="s">
        <v>342</v>
      </c>
      <c r="O157" s="16">
        <f ca="1">A104</f>
        <v>58</v>
      </c>
      <c r="P157" s="8">
        <f ca="1">A105</f>
        <v>59</v>
      </c>
      <c r="Q157" s="22" t="s">
        <v>147</v>
      </c>
      <c r="R157" s="97" t="s">
        <v>914</v>
      </c>
      <c r="S157" s="5" t="s">
        <v>751</v>
      </c>
      <c r="T157" s="93" t="s">
        <v>860</v>
      </c>
    </row>
    <row r="158" spans="1:20" ht="46.8">
      <c r="A158" s="3" cm="1">
        <f t="array" aca="1" ref="A158" ca="1">INDIRECT("A"&amp;ROW()-1)+1</f>
        <v>83</v>
      </c>
      <c r="B158" s="3">
        <v>82</v>
      </c>
      <c r="C158" s="3" t="str">
        <f ca="1">A134&amp;"any['光功率']"</f>
        <v>75any['光功率']</v>
      </c>
      <c r="D158" s="4" t="s">
        <v>212</v>
      </c>
      <c r="E158" s="21" t="s">
        <v>145</v>
      </c>
      <c r="F158" s="46" t="s">
        <v>125</v>
      </c>
      <c r="H158" s="80">
        <v>1</v>
      </c>
      <c r="I158" s="9" t="s">
        <v>129</v>
      </c>
      <c r="J158" s="9"/>
      <c r="K158" s="4" t="s">
        <v>364</v>
      </c>
      <c r="L158" s="16">
        <f>L134</f>
        <v>5</v>
      </c>
      <c r="M158" s="42" t="s">
        <v>342</v>
      </c>
      <c r="O158" s="16">
        <f ca="1">A104</f>
        <v>58</v>
      </c>
      <c r="P158" s="8">
        <f ca="1">A105</f>
        <v>59</v>
      </c>
      <c r="Q158" s="22" t="s">
        <v>147</v>
      </c>
      <c r="R158" s="97" t="s">
        <v>915</v>
      </c>
      <c r="S158" s="93" t="s">
        <v>864</v>
      </c>
      <c r="T158" s="93" t="s">
        <v>861</v>
      </c>
    </row>
    <row r="159" spans="1:20" ht="46.8">
      <c r="A159" s="3" cm="1">
        <f t="array" aca="1" ref="A159" ca="1">INDIRECT("A"&amp;ROW()-1)+1</f>
        <v>84</v>
      </c>
      <c r="B159" s="3">
        <v>83</v>
      </c>
      <c r="C159" s="3" t="str">
        <f ca="1">A134&amp;"any['照度']"</f>
        <v>75any['照度']</v>
      </c>
      <c r="D159" s="4" t="s">
        <v>213</v>
      </c>
      <c r="E159" s="21" t="s">
        <v>145</v>
      </c>
      <c r="F159" s="46" t="s">
        <v>125</v>
      </c>
      <c r="H159" s="80">
        <v>1</v>
      </c>
      <c r="I159" s="9" t="s">
        <v>129</v>
      </c>
      <c r="J159" s="9"/>
      <c r="K159" s="4" t="s">
        <v>536</v>
      </c>
      <c r="L159" s="16">
        <f>L134</f>
        <v>5</v>
      </c>
      <c r="M159" s="42" t="s">
        <v>342</v>
      </c>
      <c r="O159" s="16">
        <f ca="1">A104</f>
        <v>58</v>
      </c>
      <c r="P159" s="8">
        <f ca="1">A105</f>
        <v>59</v>
      </c>
      <c r="Q159" s="22" t="s">
        <v>147</v>
      </c>
      <c r="R159" s="97" t="s">
        <v>916</v>
      </c>
      <c r="S159" s="77" t="s">
        <v>761</v>
      </c>
      <c r="T159" s="93" t="s">
        <v>867</v>
      </c>
    </row>
    <row r="160" spans="1:20" ht="46.8">
      <c r="A160" s="3" cm="1">
        <f t="array" aca="1" ref="A160" ca="1">INDIRECT("A"&amp;ROW()-1)+1</f>
        <v>85</v>
      </c>
      <c r="B160" s="3">
        <v>84</v>
      </c>
      <c r="C160" s="3" t="str">
        <f ca="1">A134&amp;"any['辐照度']"</f>
        <v>75any['辐照度']</v>
      </c>
      <c r="D160" s="4" t="s">
        <v>214</v>
      </c>
      <c r="E160" s="21" t="s">
        <v>145</v>
      </c>
      <c r="F160" s="46" t="s">
        <v>125</v>
      </c>
      <c r="H160" s="80">
        <v>1</v>
      </c>
      <c r="I160" s="9" t="s">
        <v>129</v>
      </c>
      <c r="J160" s="9"/>
      <c r="K160" s="4" t="s">
        <v>537</v>
      </c>
      <c r="L160" s="16">
        <f>L134</f>
        <v>5</v>
      </c>
      <c r="M160" s="42" t="s">
        <v>342</v>
      </c>
      <c r="O160" s="16">
        <f ca="1">A104</f>
        <v>58</v>
      </c>
      <c r="P160" s="8">
        <f ca="1">A105</f>
        <v>59</v>
      </c>
      <c r="Q160" s="22" t="s">
        <v>147</v>
      </c>
      <c r="R160" s="97" t="s">
        <v>918</v>
      </c>
      <c r="S160" s="77" t="s">
        <v>762</v>
      </c>
      <c r="T160" s="93" t="s">
        <v>868</v>
      </c>
    </row>
    <row r="161" spans="1:20" ht="46.8">
      <c r="A161" s="3" cm="1">
        <f t="array" aca="1" ref="A161" ca="1">INDIRECT("A"&amp;ROW()-1)+1</f>
        <v>86</v>
      </c>
      <c r="B161" s="3">
        <v>85</v>
      </c>
      <c r="C161" s="3" t="str">
        <f ca="1">A137&amp;"any['亮度']"</f>
        <v>75any['亮度']</v>
      </c>
      <c r="D161" s="4" t="s">
        <v>219</v>
      </c>
      <c r="E161" s="21" t="s">
        <v>145</v>
      </c>
      <c r="F161" s="46" t="s">
        <v>125</v>
      </c>
      <c r="H161" s="80">
        <v>1</v>
      </c>
      <c r="I161" s="9" t="s">
        <v>129</v>
      </c>
      <c r="J161" s="9"/>
      <c r="K161" s="4" t="s">
        <v>538</v>
      </c>
      <c r="L161" s="16">
        <f>L134</f>
        <v>5</v>
      </c>
      <c r="M161" s="42" t="s">
        <v>342</v>
      </c>
      <c r="O161" s="16">
        <f ca="1">A104</f>
        <v>58</v>
      </c>
      <c r="P161" s="8">
        <f ca="1">A105</f>
        <v>59</v>
      </c>
      <c r="Q161" s="22" t="s">
        <v>147</v>
      </c>
      <c r="R161" s="97" t="s">
        <v>917</v>
      </c>
      <c r="S161" s="77" t="s">
        <v>763</v>
      </c>
      <c r="T161" s="93" t="s">
        <v>869</v>
      </c>
    </row>
    <row r="162" spans="1:20" ht="46.8">
      <c r="A162" s="3" cm="1">
        <f t="array" aca="1" ref="A162" ca="1">INDIRECT("A"&amp;ROW()-1)+1</f>
        <v>87</v>
      </c>
      <c r="B162" s="3">
        <v>86</v>
      </c>
      <c r="C162" s="3" t="str">
        <f ca="1">A134&amp;"any['光斑尺寸']"</f>
        <v>75any['光斑尺寸']</v>
      </c>
      <c r="D162" s="4" t="s">
        <v>215</v>
      </c>
      <c r="E162" s="21" t="s">
        <v>145</v>
      </c>
      <c r="F162" s="46" t="s">
        <v>125</v>
      </c>
      <c r="H162" s="80">
        <v>1</v>
      </c>
      <c r="I162" s="9" t="s">
        <v>129</v>
      </c>
      <c r="J162" s="9"/>
      <c r="K162" s="4" t="s">
        <v>539</v>
      </c>
      <c r="L162" s="16">
        <f>L134</f>
        <v>5</v>
      </c>
      <c r="M162" s="42" t="s">
        <v>342</v>
      </c>
      <c r="O162" s="16">
        <f ca="1">A104</f>
        <v>58</v>
      </c>
      <c r="P162" s="8">
        <f ca="1">A105</f>
        <v>59</v>
      </c>
      <c r="Q162" s="22" t="s">
        <v>147</v>
      </c>
      <c r="R162" s="97" t="s">
        <v>919</v>
      </c>
      <c r="S162" s="5" t="s">
        <v>749</v>
      </c>
      <c r="T162" s="93" t="s">
        <v>764</v>
      </c>
    </row>
    <row r="163" spans="1:20" ht="62.4">
      <c r="A163" s="3" cm="1">
        <f t="array" aca="1" ref="A163" ca="1">INDIRECT("A"&amp;ROW()-1)+1</f>
        <v>88</v>
      </c>
      <c r="B163" s="3">
        <v>87</v>
      </c>
      <c r="C163" s="3" t="str">
        <f ca="1">A134&amp;"any['光斑均匀性']"</f>
        <v>75any['光斑均匀性']</v>
      </c>
      <c r="D163" s="4" t="s">
        <v>216</v>
      </c>
      <c r="E163" s="21" t="s">
        <v>167</v>
      </c>
      <c r="F163" s="46" t="s">
        <v>125</v>
      </c>
      <c r="H163" s="80">
        <v>1</v>
      </c>
      <c r="I163" s="9" t="s">
        <v>129</v>
      </c>
      <c r="J163" s="9"/>
      <c r="K163" s="4" t="s">
        <v>540</v>
      </c>
      <c r="L163" s="16">
        <f>L134</f>
        <v>5</v>
      </c>
      <c r="M163" s="42" t="s">
        <v>342</v>
      </c>
      <c r="O163" s="16">
        <f ca="1">A104</f>
        <v>58</v>
      </c>
      <c r="P163" s="8">
        <f ca="1">A105</f>
        <v>59</v>
      </c>
      <c r="Q163" s="94" t="s">
        <v>148</v>
      </c>
      <c r="R163" s="97" t="s">
        <v>920</v>
      </c>
      <c r="S163" s="93" t="s">
        <v>746</v>
      </c>
      <c r="T163" s="93"/>
    </row>
    <row r="164" spans="1:20" ht="46.8">
      <c r="A164" s="3" cm="1">
        <f t="array" aca="1" ref="A164" ca="1">INDIRECT("A"&amp;ROW()-1)+1</f>
        <v>89</v>
      </c>
      <c r="B164" s="3">
        <v>88</v>
      </c>
      <c r="C164" s="3" t="str">
        <f ca="1">A134&amp;"any['光强']"</f>
        <v>75any['光强']</v>
      </c>
      <c r="D164" s="4" t="s">
        <v>217</v>
      </c>
      <c r="E164" s="21" t="s">
        <v>145</v>
      </c>
      <c r="F164" s="46" t="s">
        <v>125</v>
      </c>
      <c r="H164" s="80">
        <v>1</v>
      </c>
      <c r="I164" s="9" t="s">
        <v>129</v>
      </c>
      <c r="J164" s="9"/>
      <c r="K164" s="4" t="s">
        <v>365</v>
      </c>
      <c r="L164" s="16">
        <f>L134</f>
        <v>5</v>
      </c>
      <c r="M164" s="42" t="s">
        <v>342</v>
      </c>
      <c r="O164" s="16">
        <f ca="1">A104</f>
        <v>58</v>
      </c>
      <c r="P164" s="8">
        <f ca="1">A105</f>
        <v>59</v>
      </c>
      <c r="Q164" s="22" t="s">
        <v>147</v>
      </c>
      <c r="R164" s="97" t="s">
        <v>922</v>
      </c>
      <c r="S164" s="5" t="s">
        <v>753</v>
      </c>
      <c r="T164" s="93" t="s">
        <v>862</v>
      </c>
    </row>
    <row r="165" spans="1:20" ht="46.8">
      <c r="A165" s="3" cm="1">
        <f t="array" aca="1" ref="A165" ca="1">INDIRECT("A"&amp;ROW()-1)+1</f>
        <v>90</v>
      </c>
      <c r="B165" s="3">
        <v>89</v>
      </c>
      <c r="C165" s="3" t="str">
        <f ca="1">A134&amp;"any['辐射强度']"</f>
        <v>75any['辐射强度']</v>
      </c>
      <c r="D165" s="4" t="s">
        <v>218</v>
      </c>
      <c r="E165" s="21" t="s">
        <v>145</v>
      </c>
      <c r="F165" s="46" t="s">
        <v>125</v>
      </c>
      <c r="H165" s="80">
        <v>1</v>
      </c>
      <c r="I165" s="9" t="s">
        <v>129</v>
      </c>
      <c r="J165" s="9"/>
      <c r="K165" s="4" t="s">
        <v>366</v>
      </c>
      <c r="L165" s="16">
        <f>L134</f>
        <v>5</v>
      </c>
      <c r="M165" s="42" t="s">
        <v>342</v>
      </c>
      <c r="O165" s="16">
        <f ca="1">A104</f>
        <v>58</v>
      </c>
      <c r="P165" s="8">
        <f ca="1">A105</f>
        <v>59</v>
      </c>
      <c r="Q165" s="22" t="s">
        <v>147</v>
      </c>
      <c r="R165" s="97" t="s">
        <v>923</v>
      </c>
      <c r="S165" s="5" t="s">
        <v>754</v>
      </c>
      <c r="T165" s="93" t="s">
        <v>866</v>
      </c>
    </row>
    <row r="166" spans="1:20" ht="46.8">
      <c r="A166" s="3" cm="1">
        <f t="array" aca="1" ref="A166" ca="1">INDIRECT("A"&amp;ROW()-1)+1</f>
        <v>91</v>
      </c>
      <c r="B166" s="3">
        <v>90</v>
      </c>
      <c r="C166" s="3" t="str">
        <f ca="1">A134&amp;"any['光束全角']"</f>
        <v>75any['光束全角']</v>
      </c>
      <c r="D166" s="4" t="s">
        <v>220</v>
      </c>
      <c r="E166" s="21" t="s">
        <v>145</v>
      </c>
      <c r="F166" s="46" t="s">
        <v>125</v>
      </c>
      <c r="H166" s="80">
        <v>1</v>
      </c>
      <c r="I166" s="9" t="s">
        <v>129</v>
      </c>
      <c r="J166" s="9"/>
      <c r="K166" s="4" t="s">
        <v>367</v>
      </c>
      <c r="L166" s="16">
        <f>L134</f>
        <v>5</v>
      </c>
      <c r="M166" s="42" t="s">
        <v>342</v>
      </c>
      <c r="O166" s="16">
        <f ca="1">A104</f>
        <v>58</v>
      </c>
      <c r="P166" s="8">
        <f ca="1">A105</f>
        <v>59</v>
      </c>
      <c r="Q166" s="22" t="s">
        <v>147</v>
      </c>
      <c r="R166" s="97" t="s">
        <v>924</v>
      </c>
      <c r="S166" s="5" t="s">
        <v>755</v>
      </c>
      <c r="T166" s="5" t="s">
        <v>755</v>
      </c>
    </row>
    <row r="167" spans="1:20" ht="46.8">
      <c r="A167" s="3" cm="1">
        <f t="array" aca="1" ref="A167" ca="1">INDIRECT("A"&amp;ROW()-1)+1</f>
        <v>92</v>
      </c>
      <c r="B167" s="3">
        <v>91</v>
      </c>
      <c r="C167" s="3" t="str">
        <f ca="1">A134&amp;"any['视场全角']"</f>
        <v>75any['视场全角']</v>
      </c>
      <c r="D167" s="4" t="s">
        <v>221</v>
      </c>
      <c r="E167" s="21" t="s">
        <v>145</v>
      </c>
      <c r="F167" s="46" t="s">
        <v>125</v>
      </c>
      <c r="H167" s="80">
        <v>1</v>
      </c>
      <c r="I167" s="9" t="s">
        <v>129</v>
      </c>
      <c r="J167" s="9"/>
      <c r="K167" s="4" t="s">
        <v>368</v>
      </c>
      <c r="L167" s="16">
        <f>L134</f>
        <v>5</v>
      </c>
      <c r="M167" s="42" t="s">
        <v>342</v>
      </c>
      <c r="O167" s="16">
        <f ca="1">A104</f>
        <v>58</v>
      </c>
      <c r="P167" s="8">
        <f ca="1">A105</f>
        <v>59</v>
      </c>
      <c r="Q167" s="22" t="s">
        <v>147</v>
      </c>
      <c r="R167" s="97" t="s">
        <v>925</v>
      </c>
      <c r="S167" s="5" t="s">
        <v>755</v>
      </c>
      <c r="T167" s="5" t="s">
        <v>755</v>
      </c>
    </row>
    <row r="168" spans="1:20" ht="31.2">
      <c r="A168" s="3" cm="1">
        <f t="array" aca="1" ref="A168" ca="1">INDIRECT("A"&amp;ROW()-1)+1</f>
        <v>93</v>
      </c>
      <c r="B168" s="3">
        <v>217</v>
      </c>
      <c r="C168" s="3" t="str">
        <f ca="1">A12&amp;"any['光学'] and "&amp; A93&amp;"==True"</f>
        <v>7any['光学'] and 51==True</v>
      </c>
      <c r="D168" s="4" t="s">
        <v>997</v>
      </c>
      <c r="E168" s="11" t="s">
        <v>145</v>
      </c>
      <c r="F168" s="45" t="s">
        <v>125</v>
      </c>
      <c r="H168" s="80">
        <v>1</v>
      </c>
      <c r="I168" s="15" t="s">
        <v>129</v>
      </c>
      <c r="J168" s="15"/>
      <c r="K168" s="101" t="s">
        <v>998</v>
      </c>
      <c r="L168" s="44">
        <f>L93</f>
        <v>5</v>
      </c>
      <c r="M168" s="71" t="s">
        <v>337</v>
      </c>
      <c r="O168" s="16"/>
      <c r="P168" s="8"/>
      <c r="Q168" s="9"/>
      <c r="R168" s="98" t="s">
        <v>999</v>
      </c>
    </row>
    <row r="169" spans="1:20" ht="31.2">
      <c r="A169" s="3" cm="1">
        <f t="array" aca="1" ref="A169" ca="1">INDIRECT("A"&amp;ROW()-1)+1</f>
        <v>94</v>
      </c>
      <c r="B169" s="3">
        <v>92</v>
      </c>
      <c r="C169" s="3" t="str">
        <f ca="1">A40&amp;"==True"</f>
        <v>21==True</v>
      </c>
      <c r="D169" s="4" t="s">
        <v>121</v>
      </c>
      <c r="E169" s="5" t="s">
        <v>6</v>
      </c>
      <c r="F169" s="56" t="s">
        <v>134</v>
      </c>
      <c r="G169" s="5" t="s">
        <v>80</v>
      </c>
      <c r="H169" s="80">
        <v>1</v>
      </c>
      <c r="I169" s="18" t="s">
        <v>80</v>
      </c>
      <c r="J169" s="18" t="s">
        <v>80</v>
      </c>
      <c r="K169" s="49" t="s">
        <v>357</v>
      </c>
      <c r="L169" s="47">
        <v>6</v>
      </c>
      <c r="M169" s="42" t="s">
        <v>342</v>
      </c>
      <c r="N169" s="51"/>
      <c r="R169" s="19" t="s">
        <v>169</v>
      </c>
    </row>
    <row r="170" spans="1:20">
      <c r="A170" s="3" cm="1">
        <f t="array" aca="1" ref="A170" ca="1">INDIRECT("A"&amp;ROW()-1)</f>
        <v>94</v>
      </c>
      <c r="B170" s="3" t="s">
        <v>858</v>
      </c>
      <c r="F170" s="55" t="str">
        <f>F169</f>
        <v>FALSE</v>
      </c>
      <c r="G170" s="5" t="s">
        <v>81</v>
      </c>
      <c r="H170" s="80">
        <v>2</v>
      </c>
      <c r="I170" s="18" t="s">
        <v>81</v>
      </c>
      <c r="J170" s="18" t="s">
        <v>81</v>
      </c>
      <c r="L170" s="47"/>
      <c r="M170" s="47"/>
      <c r="N170" s="51"/>
    </row>
    <row r="171" spans="1:20">
      <c r="A171" s="3" cm="1">
        <f t="array" aca="1" ref="A171" ca="1">INDIRECT("A"&amp;ROW()-1)</f>
        <v>94</v>
      </c>
      <c r="B171" s="3" t="s">
        <v>858</v>
      </c>
      <c r="F171" s="55" t="str">
        <f>F170</f>
        <v>FALSE</v>
      </c>
      <c r="G171" s="5" t="s">
        <v>82</v>
      </c>
      <c r="H171" s="80">
        <v>3</v>
      </c>
      <c r="I171" s="18" t="s">
        <v>82</v>
      </c>
      <c r="J171" s="18" t="s">
        <v>82</v>
      </c>
      <c r="L171" s="47"/>
      <c r="M171" s="47"/>
      <c r="N171" s="51"/>
    </row>
    <row r="172" spans="1:20">
      <c r="A172" s="3" cm="1">
        <f t="array" aca="1" ref="A172" ca="1">INDIRECT("A"&amp;ROW()-1)</f>
        <v>94</v>
      </c>
      <c r="B172" s="3" t="s">
        <v>858</v>
      </c>
      <c r="F172" s="55" t="str">
        <f>F171</f>
        <v>FALSE</v>
      </c>
      <c r="G172" s="5" t="s">
        <v>83</v>
      </c>
      <c r="H172" s="80">
        <v>4</v>
      </c>
      <c r="I172" s="18" t="s">
        <v>83</v>
      </c>
      <c r="J172" s="18" t="s">
        <v>83</v>
      </c>
      <c r="L172" s="47"/>
      <c r="M172" s="47"/>
      <c r="N172" s="51"/>
      <c r="Q172" s="18"/>
    </row>
    <row r="173" spans="1:20">
      <c r="A173" s="3" cm="1">
        <f t="array" aca="1" ref="A173" ca="1">INDIRECT("A"&amp;ROW()-1)</f>
        <v>94</v>
      </c>
      <c r="B173" s="3" t="s">
        <v>858</v>
      </c>
      <c r="F173" s="55" t="str">
        <f>F172</f>
        <v>FALSE</v>
      </c>
      <c r="G173" s="5" t="s">
        <v>84</v>
      </c>
      <c r="H173" s="80">
        <v>5</v>
      </c>
      <c r="I173" s="18" t="s">
        <v>84</v>
      </c>
      <c r="J173" s="18" t="s">
        <v>84</v>
      </c>
      <c r="L173" s="47"/>
      <c r="M173" s="47"/>
      <c r="N173" s="51"/>
    </row>
    <row r="174" spans="1:20">
      <c r="A174" s="3" cm="1">
        <f t="array" aca="1" ref="A174" ca="1">INDIRECT("A"&amp;ROW()-1)</f>
        <v>94</v>
      </c>
      <c r="B174" s="3" t="s">
        <v>858</v>
      </c>
      <c r="F174" s="55" t="str">
        <f>F173</f>
        <v>FALSE</v>
      </c>
      <c r="G174" s="49" t="s">
        <v>356</v>
      </c>
      <c r="H174" s="80">
        <v>6</v>
      </c>
      <c r="I174" s="41" t="s">
        <v>356</v>
      </c>
      <c r="J174" s="41" t="s">
        <v>356</v>
      </c>
      <c r="L174" s="47"/>
      <c r="M174" s="47"/>
    </row>
    <row r="175" spans="1:20" ht="46.8">
      <c r="A175" s="3" cm="1">
        <f t="array" aca="1" ref="A175" ca="1">INDIRECT("A"&amp;ROW()-1)+1</f>
        <v>95</v>
      </c>
      <c r="B175" s="3">
        <v>93</v>
      </c>
      <c r="C175" s="3" t="str">
        <f ca="1">A169&amp;"any['红绿辐通量比']"</f>
        <v>94any['红绿辐通量比']</v>
      </c>
      <c r="D175" s="4" t="s">
        <v>229</v>
      </c>
      <c r="E175" s="21" t="s">
        <v>145</v>
      </c>
      <c r="F175" s="56" t="s">
        <v>134</v>
      </c>
      <c r="H175" s="80">
        <v>1</v>
      </c>
      <c r="I175" s="15" t="s">
        <v>129</v>
      </c>
      <c r="J175" s="15"/>
      <c r="K175" s="4" t="s">
        <v>371</v>
      </c>
      <c r="L175" s="44">
        <f>L169</f>
        <v>6</v>
      </c>
      <c r="M175" s="42" t="s">
        <v>342</v>
      </c>
      <c r="O175" s="16">
        <f ca="1">A104</f>
        <v>58</v>
      </c>
      <c r="P175" s="8">
        <f ca="1">A105</f>
        <v>59</v>
      </c>
      <c r="Q175" s="22" t="s">
        <v>147</v>
      </c>
      <c r="R175" s="103" t="s">
        <v>1002</v>
      </c>
      <c r="S175" s="93" t="s">
        <v>746</v>
      </c>
      <c r="T175" s="93" t="s">
        <v>865</v>
      </c>
    </row>
    <row r="176" spans="1:20" ht="46.8">
      <c r="A176" s="3" cm="1">
        <f t="array" aca="1" ref="A176" ca="1">INDIRECT("A"&amp;ROW()-1)+1</f>
        <v>96</v>
      </c>
      <c r="B176" s="3">
        <v>94</v>
      </c>
      <c r="C176" s="3" t="str">
        <f ca="1">A169&amp;"any['蓝绿辐通量比']"</f>
        <v>94any['蓝绿辐通量比']</v>
      </c>
      <c r="D176" s="4" t="s">
        <v>230</v>
      </c>
      <c r="E176" s="21" t="s">
        <v>145</v>
      </c>
      <c r="F176" s="56" t="s">
        <v>134</v>
      </c>
      <c r="H176" s="80">
        <v>1</v>
      </c>
      <c r="I176" s="9" t="s">
        <v>129</v>
      </c>
      <c r="J176" s="9"/>
      <c r="K176" s="4" t="s">
        <v>372</v>
      </c>
      <c r="L176" s="16">
        <f>L169</f>
        <v>6</v>
      </c>
      <c r="M176" s="42" t="s">
        <v>342</v>
      </c>
      <c r="O176" s="16">
        <f ca="1">A104</f>
        <v>58</v>
      </c>
      <c r="P176" s="8">
        <f ca="1">A105</f>
        <v>59</v>
      </c>
      <c r="Q176" s="22" t="s">
        <v>147</v>
      </c>
      <c r="R176" s="103" t="s">
        <v>1003</v>
      </c>
      <c r="S176" s="93" t="s">
        <v>746</v>
      </c>
      <c r="T176" s="93" t="s">
        <v>865</v>
      </c>
    </row>
    <row r="177" spans="1:19" ht="31.2">
      <c r="A177" s="3" cm="1">
        <f t="array" aca="1" ref="A177" ca="1">INDIRECT("A"&amp;ROW()-1)+1</f>
        <v>97</v>
      </c>
      <c r="B177" s="3">
        <v>95</v>
      </c>
      <c r="C177" s="3" t="str">
        <f ca="1">A169&amp;"any['红外截止性能']"</f>
        <v>94any['红外截止性能']</v>
      </c>
      <c r="D177" s="4" t="s">
        <v>231</v>
      </c>
      <c r="E177" s="21" t="s">
        <v>145</v>
      </c>
      <c r="F177" s="56" t="s">
        <v>134</v>
      </c>
      <c r="H177" s="80">
        <v>1</v>
      </c>
      <c r="I177" s="9" t="s">
        <v>129</v>
      </c>
      <c r="J177" s="9"/>
      <c r="K177" s="4" t="s">
        <v>936</v>
      </c>
      <c r="L177" s="16">
        <f>L169</f>
        <v>6</v>
      </c>
      <c r="M177" s="42" t="s">
        <v>342</v>
      </c>
      <c r="O177" s="16">
        <f ca="1">A104</f>
        <v>58</v>
      </c>
      <c r="P177" s="8">
        <f ca="1">A105</f>
        <v>59</v>
      </c>
      <c r="Q177" s="20" t="s">
        <v>150</v>
      </c>
      <c r="R177" s="97" t="s">
        <v>935</v>
      </c>
      <c r="S177" s="77" t="s">
        <v>757</v>
      </c>
    </row>
    <row r="178" spans="1:19" ht="31.2">
      <c r="A178" s="3" cm="1">
        <f t="array" aca="1" ref="A178" ca="1">INDIRECT("A"&amp;ROW()-1)+1</f>
        <v>98</v>
      </c>
      <c r="B178" s="3">
        <v>96</v>
      </c>
      <c r="C178" s="3" t="str">
        <f ca="1">A169&amp;"any['光照均匀性']"</f>
        <v>94any['光照均匀性']</v>
      </c>
      <c r="D178" s="4" t="s">
        <v>232</v>
      </c>
      <c r="E178" s="21" t="s">
        <v>145</v>
      </c>
      <c r="F178" s="56" t="s">
        <v>134</v>
      </c>
      <c r="H178" s="80">
        <v>1</v>
      </c>
      <c r="I178" s="9" t="s">
        <v>129</v>
      </c>
      <c r="J178" s="9"/>
      <c r="K178" s="4" t="s">
        <v>938</v>
      </c>
      <c r="L178" s="16">
        <f>L169</f>
        <v>6</v>
      </c>
      <c r="M178" s="42" t="s">
        <v>342</v>
      </c>
      <c r="O178" s="16">
        <f ca="1">A104</f>
        <v>58</v>
      </c>
      <c r="P178" s="8">
        <f ca="1">A105</f>
        <v>59</v>
      </c>
      <c r="Q178" s="22" t="s">
        <v>150</v>
      </c>
      <c r="R178" s="97" t="s">
        <v>937</v>
      </c>
      <c r="S178" s="93" t="s">
        <v>746</v>
      </c>
    </row>
    <row r="179" spans="1:19" ht="31.2">
      <c r="A179" s="3" cm="1">
        <f t="array" aca="1" ref="A179" ca="1">INDIRECT("A"&amp;ROW()-1)+1</f>
        <v>99</v>
      </c>
      <c r="B179" s="3">
        <v>97</v>
      </c>
      <c r="C179" s="3" t="str">
        <f ca="1">A169&amp;"any['照度超限点']"</f>
        <v>94any['照度超限点']</v>
      </c>
      <c r="D179" s="4" t="s">
        <v>233</v>
      </c>
      <c r="E179" s="21" t="s">
        <v>145</v>
      </c>
      <c r="F179" s="56" t="s">
        <v>134</v>
      </c>
      <c r="H179" s="80">
        <v>1</v>
      </c>
      <c r="I179" s="9" t="s">
        <v>129</v>
      </c>
      <c r="J179" s="9"/>
      <c r="K179" s="4" t="s">
        <v>939</v>
      </c>
      <c r="L179" s="16">
        <f>L169</f>
        <v>6</v>
      </c>
      <c r="M179" s="42" t="s">
        <v>342</v>
      </c>
      <c r="O179" s="16">
        <f ca="1">A104</f>
        <v>58</v>
      </c>
      <c r="P179" s="8">
        <f ca="1">A105</f>
        <v>59</v>
      </c>
      <c r="Q179" s="22" t="s">
        <v>150</v>
      </c>
      <c r="R179" s="97" t="s">
        <v>940</v>
      </c>
      <c r="S179" s="93" t="s">
        <v>746</v>
      </c>
    </row>
    <row r="180" spans="1:19" ht="31.2">
      <c r="A180" s="3" cm="1">
        <f t="array" aca="1" ref="A180" ca="1">INDIRECT("A"&amp;ROW()-1)+1</f>
        <v>100</v>
      </c>
      <c r="B180" s="3">
        <v>98</v>
      </c>
      <c r="C180" s="3" t="str">
        <f ca="1">A40&amp;"==True"</f>
        <v>21==True</v>
      </c>
      <c r="D180" s="4" t="s">
        <v>479</v>
      </c>
      <c r="E180" s="21" t="s">
        <v>170</v>
      </c>
      <c r="F180" s="45" t="s">
        <v>171</v>
      </c>
      <c r="G180" s="21" t="s">
        <v>172</v>
      </c>
      <c r="H180" s="80">
        <v>1</v>
      </c>
      <c r="I180" s="21" t="s">
        <v>175</v>
      </c>
      <c r="J180" s="35" t="s">
        <v>63</v>
      </c>
      <c r="K180" s="96" t="s">
        <v>872</v>
      </c>
      <c r="L180" s="43">
        <f>L169</f>
        <v>6</v>
      </c>
      <c r="M180" s="42" t="s">
        <v>337</v>
      </c>
      <c r="N180" s="51"/>
      <c r="O180" s="16"/>
      <c r="P180" s="8"/>
      <c r="Q180" s="22"/>
      <c r="R180" s="92" t="s">
        <v>781</v>
      </c>
    </row>
    <row r="181" spans="1:19">
      <c r="A181" s="3" cm="1">
        <f t="array" aca="1" ref="A181" ca="1">INDIRECT("A"&amp;ROW()-1)</f>
        <v>100</v>
      </c>
      <c r="B181" s="3" t="s">
        <v>858</v>
      </c>
      <c r="E181" s="25"/>
      <c r="F181" s="55" t="str">
        <f t="shared" ref="F181:F187" si="3">F180</f>
        <v>FALSE</v>
      </c>
      <c r="G181" s="21" t="s">
        <v>173</v>
      </c>
      <c r="H181" s="80">
        <v>2</v>
      </c>
      <c r="I181" s="21" t="s">
        <v>176</v>
      </c>
      <c r="J181" s="35" t="s">
        <v>67</v>
      </c>
      <c r="L181" s="43"/>
      <c r="M181" s="43"/>
      <c r="N181" s="51"/>
      <c r="O181" s="16"/>
      <c r="P181" s="8"/>
      <c r="Q181" s="22"/>
      <c r="R181" s="19"/>
    </row>
    <row r="182" spans="1:19">
      <c r="A182" s="3" cm="1">
        <f t="array" aca="1" ref="A182" ca="1">INDIRECT("A"&amp;ROW()-1)</f>
        <v>100</v>
      </c>
      <c r="B182" s="3" t="s">
        <v>858</v>
      </c>
      <c r="E182" s="25"/>
      <c r="F182" s="55" t="str">
        <f t="shared" si="3"/>
        <v>FALSE</v>
      </c>
      <c r="G182" s="21" t="s">
        <v>174</v>
      </c>
      <c r="H182" s="80">
        <v>3</v>
      </c>
      <c r="I182" s="21" t="s">
        <v>177</v>
      </c>
      <c r="J182" s="35" t="s">
        <v>68</v>
      </c>
      <c r="L182" s="43"/>
      <c r="M182" s="43"/>
      <c r="N182" s="51"/>
      <c r="O182" s="16"/>
      <c r="P182" s="8"/>
      <c r="Q182" s="22"/>
      <c r="R182" s="19"/>
    </row>
    <row r="183" spans="1:19">
      <c r="A183" s="3" cm="1">
        <f t="array" aca="1" ref="A183" ca="1">INDIRECT("A"&amp;ROW()-1)</f>
        <v>100</v>
      </c>
      <c r="B183" s="3" t="s">
        <v>858</v>
      </c>
      <c r="E183" s="25"/>
      <c r="F183" s="55" t="str">
        <f t="shared" si="3"/>
        <v>FALSE</v>
      </c>
      <c r="G183" s="5" t="s">
        <v>80</v>
      </c>
      <c r="H183" s="80">
        <v>4</v>
      </c>
      <c r="I183" s="21" t="s">
        <v>178</v>
      </c>
      <c r="J183" s="18" t="s">
        <v>80</v>
      </c>
      <c r="L183" s="47"/>
      <c r="M183" s="47"/>
      <c r="N183" s="51"/>
      <c r="O183" s="16"/>
      <c r="P183" s="8"/>
      <c r="Q183" s="22"/>
      <c r="R183" s="19"/>
    </row>
    <row r="184" spans="1:19">
      <c r="A184" s="3" cm="1">
        <f t="array" aca="1" ref="A184" ca="1">INDIRECT("A"&amp;ROW()-1)</f>
        <v>100</v>
      </c>
      <c r="B184" s="3" t="s">
        <v>858</v>
      </c>
      <c r="E184" s="25"/>
      <c r="F184" s="55" t="str">
        <f t="shared" si="3"/>
        <v>FALSE</v>
      </c>
      <c r="G184" s="5" t="s">
        <v>81</v>
      </c>
      <c r="H184" s="80">
        <v>5</v>
      </c>
      <c r="I184" s="21" t="s">
        <v>179</v>
      </c>
      <c r="J184" s="18" t="s">
        <v>81</v>
      </c>
      <c r="L184" s="47"/>
      <c r="M184" s="47"/>
      <c r="N184" s="51"/>
      <c r="O184" s="16"/>
      <c r="P184" s="8"/>
      <c r="Q184" s="22"/>
      <c r="R184" s="19"/>
    </row>
    <row r="185" spans="1:19">
      <c r="A185" s="3" cm="1">
        <f t="array" aca="1" ref="A185" ca="1">INDIRECT("A"&amp;ROW()-1)</f>
        <v>100</v>
      </c>
      <c r="B185" s="3" t="s">
        <v>858</v>
      </c>
      <c r="E185" s="25"/>
      <c r="F185" s="55" t="str">
        <f t="shared" si="3"/>
        <v>FALSE</v>
      </c>
      <c r="G185" s="50" t="s">
        <v>101</v>
      </c>
      <c r="H185" s="80">
        <v>6</v>
      </c>
      <c r="I185" s="50" t="s">
        <v>101</v>
      </c>
      <c r="J185" s="50" t="s">
        <v>101</v>
      </c>
      <c r="L185" s="47"/>
      <c r="M185" s="47"/>
      <c r="N185" s="51"/>
      <c r="O185" s="16"/>
      <c r="P185" s="8"/>
      <c r="Q185" s="22"/>
      <c r="R185" s="19"/>
    </row>
    <row r="186" spans="1:19">
      <c r="A186" s="3" cm="1">
        <f t="array" aca="1" ref="A186" ca="1">INDIRECT("A"&amp;ROW()-1)+1</f>
        <v>101</v>
      </c>
      <c r="B186" s="3">
        <v>99</v>
      </c>
      <c r="C186" s="3" t="str">
        <f>A2&amp;"!=代工"</f>
        <v>1!=代工</v>
      </c>
      <c r="D186" s="4" t="s">
        <v>117</v>
      </c>
      <c r="E186" s="5" t="s">
        <v>5</v>
      </c>
      <c r="F186" s="56" t="s">
        <v>134</v>
      </c>
      <c r="G186" s="5" t="s">
        <v>1</v>
      </c>
      <c r="H186" s="80">
        <v>1</v>
      </c>
      <c r="I186" s="7" t="b">
        <v>1</v>
      </c>
      <c r="J186" s="52" t="s">
        <v>257</v>
      </c>
      <c r="K186" s="51"/>
      <c r="L186" s="43">
        <v>11</v>
      </c>
      <c r="M186" s="42" t="s">
        <v>337</v>
      </c>
      <c r="N186" s="51"/>
      <c r="R186" s="98" t="s">
        <v>947</v>
      </c>
    </row>
    <row r="187" spans="1:19">
      <c r="A187" s="3" cm="1">
        <f t="array" aca="1" ref="A187" ca="1">INDIRECT("A"&amp;ROW()-1)</f>
        <v>101</v>
      </c>
      <c r="B187" s="3" t="s">
        <v>858</v>
      </c>
      <c r="F187" s="55" t="str">
        <f t="shared" si="3"/>
        <v>FALSE</v>
      </c>
      <c r="G187" s="5" t="s">
        <v>2</v>
      </c>
      <c r="H187" s="80">
        <v>2</v>
      </c>
      <c r="I187" s="7" t="b">
        <v>0</v>
      </c>
      <c r="J187" s="52" t="s">
        <v>399</v>
      </c>
      <c r="K187" s="51" t="s">
        <v>398</v>
      </c>
      <c r="L187" s="43"/>
      <c r="M187" s="43"/>
    </row>
    <row r="188" spans="1:19">
      <c r="A188" s="3" cm="1">
        <f t="array" aca="1" ref="A188" ca="1">INDIRECT("A"&amp;ROW()-1)+1</f>
        <v>102</v>
      </c>
      <c r="B188" s="3">
        <v>100</v>
      </c>
      <c r="C188" s="3" t="str">
        <f ca="1">A186&amp;"==True"</f>
        <v>101==True</v>
      </c>
      <c r="D188" s="4" t="s">
        <v>234</v>
      </c>
      <c r="E188" s="24" t="s">
        <v>144</v>
      </c>
      <c r="F188" s="56" t="s">
        <v>134</v>
      </c>
      <c r="H188" s="80">
        <v>1</v>
      </c>
      <c r="I188" s="15" t="s">
        <v>129</v>
      </c>
      <c r="J188" s="15"/>
      <c r="K188" s="51" t="s">
        <v>401</v>
      </c>
      <c r="L188" s="44">
        <f>L186</f>
        <v>11</v>
      </c>
      <c r="M188" s="42" t="s">
        <v>337</v>
      </c>
      <c r="N188" s="51"/>
      <c r="O188" s="16"/>
      <c r="P188" s="8"/>
      <c r="Q188" s="22" t="s">
        <v>149</v>
      </c>
      <c r="R188" s="97" t="s">
        <v>941</v>
      </c>
      <c r="S188" s="77" t="s">
        <v>758</v>
      </c>
    </row>
    <row r="189" spans="1:19">
      <c r="A189" s="3" cm="1">
        <f t="array" aca="1" ref="A189" ca="1">INDIRECT("A"&amp;ROW()-1)+1</f>
        <v>103</v>
      </c>
      <c r="B189" s="3">
        <v>101</v>
      </c>
      <c r="C189" s="3" t="str">
        <f>A2&amp;"!=代工"</f>
        <v>1!=代工</v>
      </c>
      <c r="D189" s="4" t="s">
        <v>116</v>
      </c>
      <c r="E189" s="5" t="s">
        <v>5</v>
      </c>
      <c r="F189" s="56" t="s">
        <v>134</v>
      </c>
      <c r="G189" s="5" t="s">
        <v>1</v>
      </c>
      <c r="H189" s="80">
        <v>1</v>
      </c>
      <c r="I189" s="7" t="b">
        <v>1</v>
      </c>
      <c r="J189" s="52" t="s">
        <v>402</v>
      </c>
      <c r="K189" s="51"/>
      <c r="L189" s="43">
        <f>L186</f>
        <v>11</v>
      </c>
      <c r="M189" s="42" t="s">
        <v>337</v>
      </c>
      <c r="N189" s="51"/>
      <c r="R189" s="98" t="s">
        <v>948</v>
      </c>
    </row>
    <row r="190" spans="1:19">
      <c r="A190" s="3" cm="1">
        <f t="array" aca="1" ref="A190" ca="1">INDIRECT("A"&amp;ROW()-1)</f>
        <v>103</v>
      </c>
      <c r="B190" s="3" t="s">
        <v>858</v>
      </c>
      <c r="F190" s="55" t="str">
        <f>F189</f>
        <v>FALSE</v>
      </c>
      <c r="G190" s="5" t="s">
        <v>2</v>
      </c>
      <c r="H190" s="80">
        <v>2</v>
      </c>
      <c r="I190" s="7" t="b">
        <v>0</v>
      </c>
      <c r="J190" s="52" t="s">
        <v>399</v>
      </c>
      <c r="K190" s="51" t="s">
        <v>400</v>
      </c>
      <c r="L190" s="43"/>
      <c r="M190" s="43"/>
    </row>
    <row r="191" spans="1:19">
      <c r="A191" s="3" cm="1">
        <f t="array" aca="1" ref="A191" ca="1">INDIRECT("A"&amp;ROW()-1)+1</f>
        <v>104</v>
      </c>
      <c r="B191" s="3">
        <v>102</v>
      </c>
      <c r="C191" s="3" t="str">
        <f ca="1">A189&amp;"==True"</f>
        <v>103==True</v>
      </c>
      <c r="D191" s="4" t="s">
        <v>235</v>
      </c>
      <c r="E191" s="24" t="s">
        <v>144</v>
      </c>
      <c r="F191" s="56" t="s">
        <v>134</v>
      </c>
      <c r="H191" s="80">
        <v>1</v>
      </c>
      <c r="I191" s="15" t="s">
        <v>129</v>
      </c>
      <c r="J191" s="15"/>
      <c r="K191" s="50" t="s">
        <v>291</v>
      </c>
      <c r="L191" s="44">
        <f>L189</f>
        <v>11</v>
      </c>
      <c r="M191" s="42" t="s">
        <v>337</v>
      </c>
      <c r="O191" s="16"/>
      <c r="P191" s="8"/>
      <c r="Q191" s="22" t="s">
        <v>149</v>
      </c>
      <c r="R191" s="95" t="s">
        <v>870</v>
      </c>
      <c r="S191" s="93" t="s">
        <v>865</v>
      </c>
    </row>
    <row r="192" spans="1:19" ht="42.6" customHeight="1">
      <c r="A192" s="3" cm="1">
        <f t="array" aca="1" ref="A192" ca="1">INDIRECT("A"&amp;ROW()-1)+1</f>
        <v>105</v>
      </c>
      <c r="B192" s="3">
        <v>103</v>
      </c>
      <c r="C192" s="3" t="str">
        <f ca="1">A12&amp;"any['结构'] and "&amp;A12&amp;"any['光源']"</f>
        <v>7any['结构'] and 7any['光源']</v>
      </c>
      <c r="D192" s="4" t="s">
        <v>115</v>
      </c>
      <c r="E192" s="5" t="s">
        <v>5</v>
      </c>
      <c r="F192" s="56" t="s">
        <v>134</v>
      </c>
      <c r="G192" s="5" t="s">
        <v>1</v>
      </c>
      <c r="H192" s="80">
        <v>1</v>
      </c>
      <c r="I192" s="7" t="b">
        <v>1</v>
      </c>
      <c r="J192" s="52" t="s">
        <v>402</v>
      </c>
      <c r="L192" s="43">
        <f>L186</f>
        <v>11</v>
      </c>
      <c r="M192" s="42" t="s">
        <v>337</v>
      </c>
      <c r="N192" s="51" t="s">
        <v>466</v>
      </c>
      <c r="R192" s="98" t="s">
        <v>949</v>
      </c>
    </row>
    <row r="193" spans="1:19">
      <c r="A193" s="3" cm="1">
        <f t="array" aca="1" ref="A193" ca="1">INDIRECT("A"&amp;ROW()-1)</f>
        <v>105</v>
      </c>
      <c r="B193" s="3" t="s">
        <v>858</v>
      </c>
      <c r="F193" s="55" t="str">
        <f>F192</f>
        <v>FALSE</v>
      </c>
      <c r="G193" s="5" t="s">
        <v>2</v>
      </c>
      <c r="H193" s="80">
        <v>2</v>
      </c>
      <c r="I193" s="7" t="b">
        <v>0</v>
      </c>
      <c r="J193" s="52" t="s">
        <v>399</v>
      </c>
      <c r="K193" s="51" t="s">
        <v>403</v>
      </c>
      <c r="L193" s="43"/>
      <c r="M193" s="43"/>
    </row>
    <row r="194" spans="1:19">
      <c r="A194" s="3" cm="1">
        <f t="array" aca="1" ref="A194" ca="1">INDIRECT("A"&amp;ROW()-1)+1</f>
        <v>106</v>
      </c>
      <c r="B194" s="3">
        <v>104</v>
      </c>
      <c r="C194" s="3" t="str">
        <f ca="1">A192&amp;"==True"</f>
        <v>105==True</v>
      </c>
      <c r="D194" s="4" t="s">
        <v>236</v>
      </c>
      <c r="E194" s="24" t="s">
        <v>144</v>
      </c>
      <c r="F194" s="56" t="s">
        <v>134</v>
      </c>
      <c r="H194" s="80">
        <v>1</v>
      </c>
      <c r="I194" s="15" t="s">
        <v>129</v>
      </c>
      <c r="J194" s="15"/>
      <c r="K194" s="96" t="s">
        <v>292</v>
      </c>
      <c r="L194" s="44">
        <f>L192</f>
        <v>11</v>
      </c>
      <c r="M194" s="42" t="s">
        <v>337</v>
      </c>
      <c r="O194" s="16"/>
      <c r="P194" s="8"/>
      <c r="Q194" s="22" t="s">
        <v>150</v>
      </c>
      <c r="R194" s="97" t="s">
        <v>943</v>
      </c>
      <c r="S194" s="96" t="s">
        <v>942</v>
      </c>
    </row>
    <row r="195" spans="1:19" ht="69.599999999999994" customHeight="1">
      <c r="A195" s="3" cm="1">
        <f t="array" aca="1" ref="A195" ca="1">INDIRECT("A"&amp;ROW()-1)+1</f>
        <v>107</v>
      </c>
      <c r="B195" s="3">
        <v>105</v>
      </c>
      <c r="C195" s="3" t="str">
        <f ca="1">A12&amp;"any['结构'] and "&amp;A12&amp;"any['光源'] or "&amp;A12&amp;"any['硬件']"</f>
        <v>7any['结构'] and 7any['光源'] or 7any['硬件']</v>
      </c>
      <c r="D195" s="4" t="s">
        <v>114</v>
      </c>
      <c r="E195" s="5" t="s">
        <v>5</v>
      </c>
      <c r="F195" s="56" t="s">
        <v>134</v>
      </c>
      <c r="G195" s="5" t="s">
        <v>1</v>
      </c>
      <c r="H195" s="80">
        <v>1</v>
      </c>
      <c r="I195" s="7" t="b">
        <v>1</v>
      </c>
      <c r="J195" s="52" t="s">
        <v>402</v>
      </c>
      <c r="L195" s="43">
        <f>L186</f>
        <v>11</v>
      </c>
      <c r="M195" s="42" t="s">
        <v>337</v>
      </c>
      <c r="N195" s="58"/>
      <c r="R195" s="98" t="s">
        <v>950</v>
      </c>
    </row>
    <row r="196" spans="1:19">
      <c r="A196" s="3" cm="1">
        <f t="array" aca="1" ref="A196" ca="1">INDIRECT("A"&amp;ROW()-1)</f>
        <v>107</v>
      </c>
      <c r="B196" s="3" t="s">
        <v>858</v>
      </c>
      <c r="F196" s="55" t="str">
        <f>F195</f>
        <v>FALSE</v>
      </c>
      <c r="G196" s="5" t="s">
        <v>2</v>
      </c>
      <c r="H196" s="80">
        <v>2</v>
      </c>
      <c r="I196" s="7" t="b">
        <v>0</v>
      </c>
      <c r="J196" s="52" t="s">
        <v>399</v>
      </c>
      <c r="K196" s="51" t="s">
        <v>404</v>
      </c>
      <c r="L196" s="43"/>
      <c r="M196" s="43"/>
    </row>
    <row r="197" spans="1:19" ht="31.2">
      <c r="A197" s="3" cm="1">
        <f t="array" aca="1" ref="A197" ca="1">INDIRECT("A"&amp;ROW()-1)+1</f>
        <v>108</v>
      </c>
      <c r="B197" s="3">
        <v>106</v>
      </c>
      <c r="C197" s="3" t="str">
        <f ca="1">A195&amp;"==True"</f>
        <v>107==True</v>
      </c>
      <c r="D197" s="4" t="s">
        <v>237</v>
      </c>
      <c r="E197" s="24" t="s">
        <v>144</v>
      </c>
      <c r="F197" s="56" t="s">
        <v>134</v>
      </c>
      <c r="H197" s="80">
        <v>1</v>
      </c>
      <c r="I197" s="15" t="s">
        <v>129</v>
      </c>
      <c r="J197" s="15"/>
      <c r="K197" s="96" t="s">
        <v>944</v>
      </c>
      <c r="L197" s="44">
        <f>L195</f>
        <v>11</v>
      </c>
      <c r="M197" s="42" t="s">
        <v>337</v>
      </c>
      <c r="O197" s="16"/>
      <c r="P197" s="8"/>
      <c r="Q197" s="22" t="s">
        <v>150</v>
      </c>
      <c r="R197" s="98" t="s">
        <v>951</v>
      </c>
      <c r="S197" s="77" t="s">
        <v>758</v>
      </c>
    </row>
    <row r="198" spans="1:19">
      <c r="A198" s="3" cm="1">
        <f t="array" aca="1" ref="A198" ca="1">INDIRECT("A"&amp;ROW()-1)+1</f>
        <v>109</v>
      </c>
      <c r="B198" s="3">
        <v>107</v>
      </c>
      <c r="C198" s="3" t="str">
        <f ca="1">A12&amp;"any['结构','硬件']"</f>
        <v>7any['结构','硬件']</v>
      </c>
      <c r="D198" s="4" t="s">
        <v>180</v>
      </c>
      <c r="E198" s="5" t="s">
        <v>5</v>
      </c>
      <c r="F198" s="56" t="s">
        <v>134</v>
      </c>
      <c r="G198" s="5" t="s">
        <v>1</v>
      </c>
      <c r="H198" s="80">
        <v>1</v>
      </c>
      <c r="I198" s="7" t="b">
        <v>1</v>
      </c>
      <c r="J198" s="52" t="s">
        <v>402</v>
      </c>
      <c r="L198" s="48">
        <v>12</v>
      </c>
      <c r="M198" s="42" t="s">
        <v>341</v>
      </c>
      <c r="N198" s="51" t="s">
        <v>467</v>
      </c>
      <c r="R198" s="98" t="s">
        <v>952</v>
      </c>
    </row>
    <row r="199" spans="1:19">
      <c r="A199" s="3" cm="1">
        <f t="array" aca="1" ref="A199" ca="1">INDIRECT("A"&amp;ROW()-1)</f>
        <v>109</v>
      </c>
      <c r="B199" s="3" t="s">
        <v>858</v>
      </c>
      <c r="F199" s="55" t="str">
        <f>F198</f>
        <v>FALSE</v>
      </c>
      <c r="G199" s="5" t="s">
        <v>2</v>
      </c>
      <c r="H199" s="80">
        <v>2</v>
      </c>
      <c r="I199" s="7" t="b">
        <v>0</v>
      </c>
      <c r="J199" s="52" t="s">
        <v>399</v>
      </c>
      <c r="K199" s="51" t="s">
        <v>405</v>
      </c>
      <c r="L199" s="48"/>
      <c r="M199" s="48"/>
    </row>
    <row r="200" spans="1:19">
      <c r="A200" s="3" cm="1">
        <f t="array" aca="1" ref="A200" ca="1">INDIRECT("A"&amp;ROW()-1)+1</f>
        <v>110</v>
      </c>
      <c r="B200" s="3">
        <v>108</v>
      </c>
      <c r="C200" s="3" t="str">
        <f ca="1">A198&amp;"==True"</f>
        <v>109==True</v>
      </c>
      <c r="D200" s="4" t="s">
        <v>238</v>
      </c>
      <c r="E200" s="24" t="s">
        <v>144</v>
      </c>
      <c r="F200" s="56" t="s">
        <v>134</v>
      </c>
      <c r="H200" s="80">
        <v>1</v>
      </c>
      <c r="I200" s="15" t="s">
        <v>129</v>
      </c>
      <c r="J200" s="15"/>
      <c r="K200" s="38" t="s">
        <v>293</v>
      </c>
      <c r="L200" s="44">
        <f>L198</f>
        <v>12</v>
      </c>
      <c r="M200" s="42" t="s">
        <v>341</v>
      </c>
      <c r="O200" s="16"/>
      <c r="P200" s="8"/>
      <c r="Q200" s="18"/>
      <c r="R200" s="98" t="s">
        <v>945</v>
      </c>
    </row>
    <row r="201" spans="1:19" ht="31.2">
      <c r="A201" s="3" cm="1">
        <f t="array" aca="1" ref="A201" ca="1">INDIRECT("A"&amp;ROW()-1)+1</f>
        <v>111</v>
      </c>
      <c r="B201" s="3">
        <v>109</v>
      </c>
      <c r="C201" s="3" t="str">
        <f ca="1">A12&amp;"any['结构']"</f>
        <v>7any['结构']</v>
      </c>
      <c r="D201" s="4" t="s">
        <v>113</v>
      </c>
      <c r="E201" s="5" t="s">
        <v>5</v>
      </c>
      <c r="F201" s="56" t="s">
        <v>125</v>
      </c>
      <c r="G201" s="5" t="s">
        <v>1</v>
      </c>
      <c r="H201" s="80">
        <v>1</v>
      </c>
      <c r="I201" s="7" t="b">
        <v>1</v>
      </c>
      <c r="J201" s="52" t="s">
        <v>408</v>
      </c>
      <c r="K201" s="52" t="s">
        <v>410</v>
      </c>
      <c r="L201" s="48">
        <v>13</v>
      </c>
      <c r="M201" s="42" t="s">
        <v>343</v>
      </c>
      <c r="N201" s="51" t="s">
        <v>468</v>
      </c>
      <c r="R201" s="98" t="s">
        <v>953</v>
      </c>
    </row>
    <row r="202" spans="1:19">
      <c r="A202" s="3" cm="1">
        <f t="array" aca="1" ref="A202" ca="1">INDIRECT("A"&amp;ROW()-1)</f>
        <v>111</v>
      </c>
      <c r="B202" s="3" t="s">
        <v>858</v>
      </c>
      <c r="F202" s="55" t="str">
        <f>F201</f>
        <v>TRUE</v>
      </c>
      <c r="G202" s="5" t="s">
        <v>2</v>
      </c>
      <c r="H202" s="80">
        <v>2</v>
      </c>
      <c r="I202" s="7" t="b">
        <v>0</v>
      </c>
      <c r="J202" s="52" t="s">
        <v>409</v>
      </c>
      <c r="K202" s="52" t="s">
        <v>411</v>
      </c>
      <c r="L202" s="48"/>
      <c r="M202" s="48"/>
    </row>
    <row r="203" spans="1:19" ht="31.2">
      <c r="A203" s="3" cm="1">
        <f t="array" aca="1" ref="A203" ca="1">INDIRECT("A"&amp;ROW()-1)+1</f>
        <v>112</v>
      </c>
      <c r="B203" s="3">
        <v>110</v>
      </c>
      <c r="C203" s="3" t="str">
        <f ca="1">A12&amp;"any['光学','结构']"</f>
        <v>7any['光学','结构']</v>
      </c>
      <c r="D203" s="4" t="s">
        <v>181</v>
      </c>
      <c r="E203" s="5" t="s">
        <v>5</v>
      </c>
      <c r="F203" s="56" t="s">
        <v>125</v>
      </c>
      <c r="G203" s="5" t="s">
        <v>1</v>
      </c>
      <c r="H203" s="80">
        <v>1</v>
      </c>
      <c r="I203" s="7" t="b">
        <v>1</v>
      </c>
      <c r="J203" s="52" t="s">
        <v>408</v>
      </c>
      <c r="K203" s="52" t="s">
        <v>414</v>
      </c>
      <c r="L203" s="48">
        <f>L201</f>
        <v>13</v>
      </c>
      <c r="M203" s="42" t="s">
        <v>344</v>
      </c>
      <c r="N203" s="51" t="s">
        <v>469</v>
      </c>
      <c r="R203" s="98" t="s">
        <v>953</v>
      </c>
    </row>
    <row r="204" spans="1:19">
      <c r="A204" s="3" cm="1">
        <f t="array" aca="1" ref="A204" ca="1">INDIRECT("A"&amp;ROW()-1)</f>
        <v>112</v>
      </c>
      <c r="B204" s="3" t="s">
        <v>858</v>
      </c>
      <c r="F204" s="55" t="str">
        <f>F203</f>
        <v>TRUE</v>
      </c>
      <c r="G204" s="5" t="s">
        <v>2</v>
      </c>
      <c r="H204" s="80">
        <v>2</v>
      </c>
      <c r="I204" s="7" t="b">
        <v>0</v>
      </c>
      <c r="J204" s="52" t="s">
        <v>409</v>
      </c>
      <c r="K204" s="52" t="s">
        <v>414</v>
      </c>
      <c r="L204" s="48"/>
      <c r="M204" s="48"/>
    </row>
    <row r="205" spans="1:19">
      <c r="A205" s="3" cm="1">
        <f t="array" aca="1" ref="A205" ca="1">INDIRECT("A"&amp;ROW()-1)+1</f>
        <v>113</v>
      </c>
      <c r="B205" s="3">
        <v>111</v>
      </c>
      <c r="C205" s="3" t="str">
        <f ca="1">A12&amp;"any['结构']"</f>
        <v>7any['结构']</v>
      </c>
      <c r="D205" s="4" t="s">
        <v>112</v>
      </c>
      <c r="E205" s="5" t="s">
        <v>5</v>
      </c>
      <c r="F205" s="56" t="s">
        <v>125</v>
      </c>
      <c r="G205" s="5" t="s">
        <v>1</v>
      </c>
      <c r="H205" s="80">
        <v>1</v>
      </c>
      <c r="I205" s="7" t="b">
        <v>1</v>
      </c>
      <c r="J205" s="52" t="s">
        <v>408</v>
      </c>
      <c r="K205" s="52" t="s">
        <v>413</v>
      </c>
      <c r="L205" s="48">
        <f>L201</f>
        <v>13</v>
      </c>
      <c r="M205" s="42" t="s">
        <v>341</v>
      </c>
      <c r="N205" s="51" t="s">
        <v>470</v>
      </c>
      <c r="R205" s="98" t="s">
        <v>953</v>
      </c>
    </row>
    <row r="206" spans="1:19">
      <c r="A206" s="3" cm="1">
        <f t="array" aca="1" ref="A206" ca="1">INDIRECT("A"&amp;ROW()-1)</f>
        <v>113</v>
      </c>
      <c r="B206" s="3" t="s">
        <v>858</v>
      </c>
      <c r="F206" s="55" t="str">
        <f>F205</f>
        <v>TRUE</v>
      </c>
      <c r="G206" s="5" t="s">
        <v>2</v>
      </c>
      <c r="H206" s="80">
        <v>2</v>
      </c>
      <c r="I206" s="7" t="b">
        <v>0</v>
      </c>
      <c r="J206" s="52" t="s">
        <v>409</v>
      </c>
      <c r="K206" s="52" t="s">
        <v>413</v>
      </c>
      <c r="L206" s="48"/>
      <c r="M206" s="48"/>
    </row>
    <row r="207" spans="1:19" ht="31.2">
      <c r="A207" s="3" cm="1">
        <f t="array" aca="1" ref="A207" ca="1">INDIRECT("A"&amp;ROW()-1)+1</f>
        <v>114</v>
      </c>
      <c r="B207" s="3">
        <v>112</v>
      </c>
      <c r="C207" s="3" t="str">
        <f ca="1">A12&amp;"any['结构']"</f>
        <v>7any['结构']</v>
      </c>
      <c r="D207" s="4" t="s">
        <v>511</v>
      </c>
      <c r="E207" s="5" t="s">
        <v>5</v>
      </c>
      <c r="F207" s="56" t="s">
        <v>125</v>
      </c>
      <c r="G207" s="5" t="s">
        <v>1</v>
      </c>
      <c r="H207" s="80">
        <v>1</v>
      </c>
      <c r="I207" s="7" t="b">
        <v>1</v>
      </c>
      <c r="J207" s="52" t="s">
        <v>408</v>
      </c>
      <c r="K207" s="52" t="s">
        <v>412</v>
      </c>
      <c r="L207" s="48">
        <f>L201</f>
        <v>13</v>
      </c>
      <c r="M207" s="42" t="s">
        <v>344</v>
      </c>
      <c r="N207" s="51" t="s">
        <v>471</v>
      </c>
      <c r="R207" s="98" t="s">
        <v>954</v>
      </c>
    </row>
    <row r="208" spans="1:19">
      <c r="A208" s="3" cm="1">
        <f t="array" aca="1" ref="A208" ca="1">INDIRECT("A"&amp;ROW()-1)</f>
        <v>114</v>
      </c>
      <c r="B208" s="3" t="s">
        <v>858</v>
      </c>
      <c r="F208" s="55" t="str">
        <f>F207</f>
        <v>TRUE</v>
      </c>
      <c r="G208" s="5" t="s">
        <v>2</v>
      </c>
      <c r="H208" s="80">
        <v>2</v>
      </c>
      <c r="I208" s="7" t="b">
        <v>0</v>
      </c>
      <c r="J208" s="52" t="s">
        <v>409</v>
      </c>
      <c r="K208" s="52" t="s">
        <v>412</v>
      </c>
      <c r="L208" s="48"/>
      <c r="M208" s="48"/>
    </row>
    <row r="209" spans="1:19">
      <c r="A209" s="3" cm="1">
        <f t="array" aca="1" ref="A209" ca="1">INDIRECT("A"&amp;ROW()-1)+1</f>
        <v>115</v>
      </c>
      <c r="B209" s="3">
        <v>113</v>
      </c>
      <c r="C209" s="3" t="str">
        <f ca="1">A12&amp;"any['结构']"</f>
        <v>7any['结构']</v>
      </c>
      <c r="D209" s="4" t="s">
        <v>111</v>
      </c>
      <c r="E209" s="5" t="s">
        <v>5</v>
      </c>
      <c r="F209" s="56" t="s">
        <v>134</v>
      </c>
      <c r="G209" s="5" t="s">
        <v>1</v>
      </c>
      <c r="H209" s="80">
        <v>1</v>
      </c>
      <c r="I209" s="7" t="b">
        <v>1</v>
      </c>
      <c r="J209" s="37" t="s">
        <v>257</v>
      </c>
      <c r="L209" s="48">
        <v>14</v>
      </c>
      <c r="M209" s="42" t="s">
        <v>343</v>
      </c>
      <c r="N209" s="51"/>
      <c r="R209" s="98" t="s">
        <v>955</v>
      </c>
    </row>
    <row r="210" spans="1:19">
      <c r="A210" s="3" cm="1">
        <f t="array" aca="1" ref="A210" ca="1">INDIRECT("A"&amp;ROW()-1)</f>
        <v>115</v>
      </c>
      <c r="B210" s="3" t="s">
        <v>858</v>
      </c>
      <c r="F210" s="55" t="str">
        <f>F209</f>
        <v>FALSE</v>
      </c>
      <c r="G210" s="5" t="s">
        <v>2</v>
      </c>
      <c r="H210" s="80">
        <v>2</v>
      </c>
      <c r="I210" s="7" t="b">
        <v>0</v>
      </c>
      <c r="J210" s="52" t="s">
        <v>409</v>
      </c>
      <c r="K210" s="51" t="s">
        <v>415</v>
      </c>
      <c r="L210" s="48"/>
      <c r="M210" s="48"/>
    </row>
    <row r="211" spans="1:19" ht="31.2">
      <c r="A211" s="3" cm="1">
        <f t="array" aca="1" ref="A211" ca="1">INDIRECT("A"&amp;ROW()-1)+1</f>
        <v>116</v>
      </c>
      <c r="B211" s="3">
        <v>114</v>
      </c>
      <c r="C211" s="3" t="str">
        <f ca="1">A209&amp;"==True"</f>
        <v>115==True</v>
      </c>
      <c r="D211" s="4" t="s">
        <v>239</v>
      </c>
      <c r="E211" s="11" t="s">
        <v>145</v>
      </c>
      <c r="F211" s="46" t="s">
        <v>125</v>
      </c>
      <c r="H211" s="80">
        <v>1</v>
      </c>
      <c r="I211" s="15" t="s">
        <v>129</v>
      </c>
      <c r="J211" s="15"/>
      <c r="K211" s="38" t="s">
        <v>294</v>
      </c>
      <c r="L211" s="44">
        <f>L209</f>
        <v>14</v>
      </c>
      <c r="M211" s="42" t="s">
        <v>343</v>
      </c>
      <c r="O211" s="16"/>
      <c r="P211" s="8"/>
      <c r="Q211" s="18"/>
      <c r="R211" s="98" t="s">
        <v>956</v>
      </c>
    </row>
    <row r="212" spans="1:19" ht="31.2">
      <c r="A212" s="3" cm="1">
        <f t="array" aca="1" ref="A212" ca="1">INDIRECT("A"&amp;ROW()-1)+1</f>
        <v>117</v>
      </c>
      <c r="B212" s="3">
        <v>115</v>
      </c>
      <c r="C212" s="3" t="str">
        <f ca="1">A15&amp;"any['结构']"</f>
        <v>7any['结构']</v>
      </c>
      <c r="D212" s="4" t="s">
        <v>767</v>
      </c>
      <c r="E212" s="5" t="s">
        <v>5</v>
      </c>
      <c r="F212" s="56" t="s">
        <v>134</v>
      </c>
      <c r="G212" s="5" t="s">
        <v>1</v>
      </c>
      <c r="H212" s="80">
        <v>1</v>
      </c>
      <c r="I212" s="7" t="b">
        <v>1</v>
      </c>
      <c r="J212" s="37" t="s">
        <v>257</v>
      </c>
      <c r="L212" s="48">
        <f>L209</f>
        <v>14</v>
      </c>
      <c r="M212" s="42" t="s">
        <v>343</v>
      </c>
      <c r="N212" s="51"/>
      <c r="R212" s="98" t="s">
        <v>957</v>
      </c>
    </row>
    <row r="213" spans="1:19">
      <c r="A213" s="3" cm="1">
        <f t="array" aca="1" ref="A213" ca="1">INDIRECT("A"&amp;ROW()-1)</f>
        <v>117</v>
      </c>
      <c r="B213" s="3" t="s">
        <v>858</v>
      </c>
      <c r="F213" s="55" t="str">
        <f>F212</f>
        <v>FALSE</v>
      </c>
      <c r="G213" s="5" t="s">
        <v>2</v>
      </c>
      <c r="H213" s="80">
        <v>2</v>
      </c>
      <c r="I213" s="7" t="b">
        <v>0</v>
      </c>
      <c r="J213" s="52" t="s">
        <v>409</v>
      </c>
      <c r="K213" s="70" t="s">
        <v>638</v>
      </c>
      <c r="L213" s="48"/>
      <c r="M213" s="48"/>
    </row>
    <row r="214" spans="1:19">
      <c r="A214" s="3" cm="1">
        <f t="array" aca="1" ref="A214" ca="1">INDIRECT("A"&amp;ROW()-1)+1</f>
        <v>118</v>
      </c>
      <c r="B214" s="3">
        <v>116</v>
      </c>
      <c r="C214" s="3" t="str">
        <f ca="1">A212&amp;"==True"</f>
        <v>117==True</v>
      </c>
      <c r="D214" s="4" t="s">
        <v>637</v>
      </c>
      <c r="E214" s="11" t="s">
        <v>145</v>
      </c>
      <c r="F214" s="46" t="s">
        <v>125</v>
      </c>
      <c r="H214" s="80">
        <v>1</v>
      </c>
      <c r="I214" s="15" t="s">
        <v>129</v>
      </c>
      <c r="J214" s="15"/>
      <c r="K214" s="70" t="s">
        <v>639</v>
      </c>
      <c r="L214" s="44">
        <f>L212</f>
        <v>14</v>
      </c>
      <c r="M214" s="42" t="s">
        <v>343</v>
      </c>
      <c r="O214" s="16"/>
      <c r="P214" s="8"/>
      <c r="Q214" s="18"/>
      <c r="R214" s="98" t="s">
        <v>958</v>
      </c>
    </row>
    <row r="215" spans="1:19" ht="31.2">
      <c r="A215" s="3" cm="1">
        <f t="array" aca="1" ref="A215" ca="1">INDIRECT("A"&amp;ROW()-1)+1</f>
        <v>119</v>
      </c>
      <c r="B215" s="3">
        <v>117</v>
      </c>
      <c r="C215" s="3" t="str">
        <f ca="1">A8&amp;"==整机 and "&amp;A12&amp;"any['结构']"</f>
        <v>5==整机 and 7any['结构']</v>
      </c>
      <c r="D215" s="4" t="s">
        <v>640</v>
      </c>
      <c r="E215" s="68" t="s">
        <v>5</v>
      </c>
      <c r="F215" s="56" t="s">
        <v>134</v>
      </c>
      <c r="G215" s="5" t="s">
        <v>1</v>
      </c>
      <c r="H215" s="80">
        <v>1</v>
      </c>
      <c r="I215" s="7" t="b">
        <v>1</v>
      </c>
      <c r="J215" s="37" t="s">
        <v>257</v>
      </c>
      <c r="L215" s="48">
        <f>L209</f>
        <v>14</v>
      </c>
      <c r="M215" s="71" t="s">
        <v>348</v>
      </c>
      <c r="N215" s="51"/>
      <c r="R215" s="98" t="s">
        <v>959</v>
      </c>
    </row>
    <row r="216" spans="1:19">
      <c r="A216" s="3" cm="1">
        <f t="array" aca="1" ref="A216" ca="1">INDIRECT("A"&amp;ROW()-1)</f>
        <v>119</v>
      </c>
      <c r="B216" s="3" t="s">
        <v>858</v>
      </c>
      <c r="F216" s="55" t="str">
        <f>F215</f>
        <v>FALSE</v>
      </c>
      <c r="G216" s="5" t="s">
        <v>2</v>
      </c>
      <c r="H216" s="80">
        <v>2</v>
      </c>
      <c r="I216" s="7" t="b">
        <v>0</v>
      </c>
      <c r="J216" s="52" t="s">
        <v>409</v>
      </c>
      <c r="K216" s="70" t="s">
        <v>642</v>
      </c>
      <c r="L216" s="48"/>
      <c r="M216" s="48"/>
    </row>
    <row r="217" spans="1:19" ht="31.2">
      <c r="A217" s="3" cm="1">
        <f t="array" aca="1" ref="A217" ca="1">INDIRECT("A"&amp;ROW()-1)+1</f>
        <v>120</v>
      </c>
      <c r="B217" s="3">
        <v>118</v>
      </c>
      <c r="C217" s="3" t="str">
        <f ca="1">A215&amp;"==True"</f>
        <v>119==True</v>
      </c>
      <c r="D217" s="4" t="s">
        <v>641</v>
      </c>
      <c r="E217" s="11" t="s">
        <v>145</v>
      </c>
      <c r="F217" s="46" t="s">
        <v>125</v>
      </c>
      <c r="H217" s="80">
        <v>1</v>
      </c>
      <c r="I217" s="15" t="s">
        <v>129</v>
      </c>
      <c r="J217" s="15"/>
      <c r="K217" s="70" t="s">
        <v>643</v>
      </c>
      <c r="L217" s="44">
        <f>L215</f>
        <v>14</v>
      </c>
      <c r="M217" s="71" t="s">
        <v>348</v>
      </c>
      <c r="O217" s="16"/>
      <c r="P217" s="8"/>
      <c r="Q217" s="18"/>
      <c r="R217" s="98" t="s">
        <v>960</v>
      </c>
    </row>
    <row r="218" spans="1:19">
      <c r="A218" s="3" cm="1">
        <f t="array" aca="1" ref="A218" ca="1">INDIRECT("A"&amp;ROW()-1)+1</f>
        <v>121</v>
      </c>
      <c r="B218" s="3">
        <v>119</v>
      </c>
      <c r="C218" s="3" t="str">
        <f ca="1">A12&amp;"any['结构']"</f>
        <v>7any['结构']</v>
      </c>
      <c r="D218" s="4" t="s">
        <v>183</v>
      </c>
      <c r="E218" s="5" t="s">
        <v>5</v>
      </c>
      <c r="F218" s="56" t="s">
        <v>134</v>
      </c>
      <c r="G218" s="5" t="s">
        <v>1</v>
      </c>
      <c r="H218" s="80">
        <v>1</v>
      </c>
      <c r="I218" s="7" t="b">
        <v>1</v>
      </c>
      <c r="J218" s="37" t="s">
        <v>257</v>
      </c>
      <c r="L218" s="48">
        <f>L209</f>
        <v>14</v>
      </c>
      <c r="M218" s="42" t="s">
        <v>343</v>
      </c>
      <c r="N218" s="51" t="s">
        <v>472</v>
      </c>
      <c r="R218" s="98" t="s">
        <v>184</v>
      </c>
    </row>
    <row r="219" spans="1:19">
      <c r="A219" s="3" cm="1">
        <f t="array" aca="1" ref="A219" ca="1">INDIRECT("A"&amp;ROW()-1)</f>
        <v>121</v>
      </c>
      <c r="B219" s="3" t="s">
        <v>858</v>
      </c>
      <c r="F219" s="55" t="str">
        <f>F218</f>
        <v>FALSE</v>
      </c>
      <c r="G219" s="5" t="s">
        <v>2</v>
      </c>
      <c r="H219" s="80">
        <v>2</v>
      </c>
      <c r="I219" s="7" t="b">
        <v>0</v>
      </c>
      <c r="J219" s="52" t="s">
        <v>409</v>
      </c>
      <c r="K219" s="51" t="s">
        <v>416</v>
      </c>
      <c r="L219" s="48"/>
      <c r="M219" s="48"/>
    </row>
    <row r="220" spans="1:19">
      <c r="A220" s="3" cm="1">
        <f t="array" aca="1" ref="A220" ca="1">INDIRECT("A"&amp;ROW()-1)+1</f>
        <v>122</v>
      </c>
      <c r="B220" s="3">
        <v>120</v>
      </c>
      <c r="C220" s="3" t="str">
        <f ca="1">A218&amp;"==True"</f>
        <v>121==True</v>
      </c>
      <c r="D220" s="4" t="s">
        <v>240</v>
      </c>
      <c r="E220" s="11" t="s">
        <v>145</v>
      </c>
      <c r="F220" s="46" t="s">
        <v>125</v>
      </c>
      <c r="H220" s="80">
        <v>1</v>
      </c>
      <c r="I220" s="15" t="s">
        <v>129</v>
      </c>
      <c r="J220" s="15"/>
      <c r="K220" s="38" t="s">
        <v>295</v>
      </c>
      <c r="L220" s="44">
        <f>L218</f>
        <v>14</v>
      </c>
      <c r="M220" s="42" t="s">
        <v>343</v>
      </c>
      <c r="O220" s="16"/>
      <c r="P220" s="8"/>
      <c r="Q220" s="18"/>
      <c r="R220" s="98" t="s">
        <v>961</v>
      </c>
    </row>
    <row r="221" spans="1:19" ht="31.2">
      <c r="A221" s="3" cm="1">
        <f t="array" aca="1" ref="A221" ca="1">INDIRECT("A"&amp;ROW()-1)+1</f>
        <v>123</v>
      </c>
      <c r="B221" s="3">
        <v>121</v>
      </c>
      <c r="C221" s="3" t="str">
        <f ca="1">A12&amp;"any['结构']"</f>
        <v>7any['结构']</v>
      </c>
      <c r="D221" s="4" t="s">
        <v>110</v>
      </c>
      <c r="E221" s="5" t="s">
        <v>5</v>
      </c>
      <c r="F221" s="56" t="s">
        <v>134</v>
      </c>
      <c r="G221" s="5" t="s">
        <v>1</v>
      </c>
      <c r="H221" s="80">
        <v>1</v>
      </c>
      <c r="I221" s="7" t="b">
        <v>1</v>
      </c>
      <c r="J221" s="37" t="s">
        <v>257</v>
      </c>
      <c r="L221" s="48">
        <f>L209</f>
        <v>14</v>
      </c>
      <c r="M221" s="42" t="s">
        <v>354</v>
      </c>
      <c r="N221" s="51"/>
      <c r="R221" s="98" t="s">
        <v>962</v>
      </c>
    </row>
    <row r="222" spans="1:19">
      <c r="A222" s="3" cm="1">
        <f t="array" aca="1" ref="A222" ca="1">INDIRECT("A"&amp;ROW()-1)</f>
        <v>123</v>
      </c>
      <c r="B222" s="3" t="s">
        <v>858</v>
      </c>
      <c r="F222" s="55" t="str">
        <f>F221</f>
        <v>FALSE</v>
      </c>
      <c r="G222" s="5" t="s">
        <v>2</v>
      </c>
      <c r="H222" s="80">
        <v>2</v>
      </c>
      <c r="I222" s="7" t="b">
        <v>0</v>
      </c>
      <c r="J222" s="52" t="s">
        <v>406</v>
      </c>
      <c r="K222" s="51" t="s">
        <v>417</v>
      </c>
      <c r="L222" s="48"/>
      <c r="M222" s="48"/>
    </row>
    <row r="223" spans="1:19" ht="31.2">
      <c r="A223" s="3" cm="1">
        <f t="array" aca="1" ref="A223" ca="1">INDIRECT("A"&amp;ROW()-1)+1</f>
        <v>124</v>
      </c>
      <c r="B223" s="3">
        <v>122</v>
      </c>
      <c r="C223" s="3" t="str">
        <f ca="1">A221&amp;"==True"</f>
        <v>123==True</v>
      </c>
      <c r="D223" s="4" t="s">
        <v>241</v>
      </c>
      <c r="E223" s="24" t="s">
        <v>144</v>
      </c>
      <c r="F223" s="56" t="s">
        <v>134</v>
      </c>
      <c r="H223" s="80">
        <v>1</v>
      </c>
      <c r="I223" s="15" t="s">
        <v>129</v>
      </c>
      <c r="J223" s="15"/>
      <c r="K223" s="38" t="s">
        <v>296</v>
      </c>
      <c r="L223" s="44">
        <f>L221</f>
        <v>14</v>
      </c>
      <c r="M223" s="42" t="s">
        <v>354</v>
      </c>
      <c r="O223" s="16"/>
      <c r="P223" s="8"/>
      <c r="Q223" s="22" t="s">
        <v>150</v>
      </c>
      <c r="R223" s="97" t="s">
        <v>946</v>
      </c>
      <c r="S223" s="77" t="s">
        <v>759</v>
      </c>
    </row>
    <row r="224" spans="1:19" ht="46.8">
      <c r="A224" s="3" cm="1">
        <f t="array" aca="1" ref="A224" ca="1">INDIRECT("A"&amp;ROW()-1)+1</f>
        <v>125</v>
      </c>
      <c r="B224" s="3">
        <v>123</v>
      </c>
      <c r="C224" s="3" t="str">
        <f ca="1">A12&amp;"any['结构'] and "&amp;A12&amp;"any['光源'] or "&amp;A12&amp;"any['硬件']"</f>
        <v>7any['结构'] and 7any['光源'] or 7any['硬件']</v>
      </c>
      <c r="D224" s="4" t="s">
        <v>576</v>
      </c>
      <c r="E224" s="5" t="s">
        <v>5</v>
      </c>
      <c r="F224" s="56" t="s">
        <v>134</v>
      </c>
      <c r="G224" s="68" t="s">
        <v>1</v>
      </c>
      <c r="H224" s="80">
        <v>1</v>
      </c>
      <c r="I224" s="7" t="b">
        <v>1</v>
      </c>
      <c r="J224" s="37" t="s">
        <v>257</v>
      </c>
      <c r="K224" s="52"/>
      <c r="L224" s="48">
        <v>15</v>
      </c>
      <c r="M224" s="42" t="s">
        <v>347</v>
      </c>
      <c r="N224" s="70" t="s">
        <v>574</v>
      </c>
      <c r="R224" s="98" t="s">
        <v>963</v>
      </c>
    </row>
    <row r="225" spans="1:18">
      <c r="A225" s="3" cm="1">
        <f t="array" aca="1" ref="A225" ca="1">INDIRECT("A"&amp;ROW()-1)</f>
        <v>125</v>
      </c>
      <c r="B225" s="3" t="s">
        <v>858</v>
      </c>
      <c r="F225" s="56" t="s">
        <v>134</v>
      </c>
      <c r="G225" s="68" t="s">
        <v>573</v>
      </c>
      <c r="H225" s="80">
        <v>2</v>
      </c>
      <c r="I225" s="7" t="b">
        <v>0</v>
      </c>
      <c r="J225" s="68" t="s">
        <v>409</v>
      </c>
      <c r="K225" s="68" t="s">
        <v>575</v>
      </c>
      <c r="L225" s="48"/>
      <c r="M225" s="42"/>
      <c r="N225" s="70"/>
      <c r="R225" s="39"/>
    </row>
    <row r="226" spans="1:18" ht="49.8" customHeight="1">
      <c r="A226" s="3" cm="1">
        <f t="array" aca="1" ref="A226" ca="1">INDIRECT("A"&amp;ROW()-1)+1</f>
        <v>126</v>
      </c>
      <c r="B226" s="3">
        <v>124</v>
      </c>
      <c r="C226" s="3" t="str">
        <f ca="1">A224&amp;"==True"</f>
        <v>125==True</v>
      </c>
      <c r="D226" s="4" t="s">
        <v>577</v>
      </c>
      <c r="E226" s="11" t="s">
        <v>145</v>
      </c>
      <c r="F226" s="45" t="s">
        <v>125</v>
      </c>
      <c r="H226" s="80">
        <v>1</v>
      </c>
      <c r="I226" s="15" t="s">
        <v>129</v>
      </c>
      <c r="J226" s="15"/>
      <c r="K226" s="70" t="s">
        <v>579</v>
      </c>
      <c r="L226" s="44">
        <f>L224</f>
        <v>15</v>
      </c>
      <c r="M226" s="42" t="s">
        <v>347</v>
      </c>
      <c r="O226" s="16"/>
      <c r="P226" s="8"/>
      <c r="Q226" s="18"/>
      <c r="R226" s="98" t="s">
        <v>726</v>
      </c>
    </row>
    <row r="227" spans="1:18" ht="46.8">
      <c r="A227" s="3" cm="1">
        <f t="array" aca="1" ref="A227" ca="1">INDIRECT("A"&amp;ROW()-1)+1</f>
        <v>127</v>
      </c>
      <c r="B227" s="3">
        <v>216</v>
      </c>
      <c r="C227" s="3" t="str">
        <f ca="1">A15&amp;"any['结构'] and "&amp;A15&amp;"any['光源']"</f>
        <v>7any['结构'] and 7any['光源']</v>
      </c>
      <c r="D227" s="4" t="s">
        <v>992</v>
      </c>
      <c r="E227" s="5" t="s">
        <v>5</v>
      </c>
      <c r="F227" s="56" t="s">
        <v>134</v>
      </c>
      <c r="G227" s="99" t="s">
        <v>991</v>
      </c>
      <c r="H227" s="80">
        <v>1</v>
      </c>
      <c r="I227" s="7" t="b">
        <v>1</v>
      </c>
      <c r="J227" s="99" t="s">
        <v>991</v>
      </c>
      <c r="K227" s="99" t="s">
        <v>995</v>
      </c>
      <c r="L227" s="48">
        <f>L224</f>
        <v>15</v>
      </c>
      <c r="M227" s="100" t="s">
        <v>337</v>
      </c>
      <c r="N227" s="101"/>
      <c r="R227" s="98" t="s">
        <v>994</v>
      </c>
    </row>
    <row r="228" spans="1:18">
      <c r="A228" s="3" cm="1">
        <f t="array" aca="1" ref="A228" ca="1">INDIRECT("A"&amp;ROW()-1)</f>
        <v>127</v>
      </c>
      <c r="B228" s="3" t="s">
        <v>858</v>
      </c>
      <c r="F228" s="56" t="s">
        <v>134</v>
      </c>
      <c r="G228" s="99" t="s">
        <v>990</v>
      </c>
      <c r="H228" s="80">
        <v>2</v>
      </c>
      <c r="I228" s="7" t="b">
        <v>0</v>
      </c>
      <c r="J228" s="99" t="s">
        <v>990</v>
      </c>
      <c r="K228" s="99" t="s">
        <v>996</v>
      </c>
      <c r="L228" s="48"/>
      <c r="M228" s="42"/>
      <c r="N228" s="101" t="s">
        <v>993</v>
      </c>
      <c r="R228" s="39"/>
    </row>
    <row r="229" spans="1:18" ht="31.2">
      <c r="A229" s="3" cm="1">
        <f t="array" aca="1" ref="A229" ca="1">INDIRECT("A"&amp;ROW()-1)+1</f>
        <v>128</v>
      </c>
      <c r="B229" s="3">
        <v>125</v>
      </c>
      <c r="C229" s="3" t="str">
        <f ca="1">A12&amp;"any['结构'] and "&amp;A227&amp;"==True"</f>
        <v>7any['结构'] and 127==True</v>
      </c>
      <c r="D229" s="4" t="s">
        <v>105</v>
      </c>
      <c r="E229" s="5" t="s">
        <v>5</v>
      </c>
      <c r="F229" s="56" t="s">
        <v>134</v>
      </c>
      <c r="G229" s="5" t="s">
        <v>1</v>
      </c>
      <c r="H229" s="80">
        <v>1</v>
      </c>
      <c r="I229" s="7" t="b">
        <v>1</v>
      </c>
      <c r="J229" s="52" t="s">
        <v>419</v>
      </c>
      <c r="K229" s="52" t="s">
        <v>418</v>
      </c>
      <c r="L229" s="48">
        <f>L224</f>
        <v>15</v>
      </c>
      <c r="M229" s="42" t="s">
        <v>337</v>
      </c>
      <c r="N229" s="51" t="s">
        <v>473</v>
      </c>
      <c r="R229" s="83" t="s">
        <v>782</v>
      </c>
    </row>
    <row r="230" spans="1:18">
      <c r="A230" s="3" cm="1">
        <f t="array" aca="1" ref="A230" ca="1">INDIRECT("A"&amp;ROW()-1)</f>
        <v>128</v>
      </c>
      <c r="B230" s="3" t="s">
        <v>858</v>
      </c>
      <c r="F230" s="55" t="str">
        <f>F229</f>
        <v>FALSE</v>
      </c>
      <c r="G230" s="5" t="s">
        <v>2</v>
      </c>
      <c r="H230" s="80">
        <v>2</v>
      </c>
      <c r="I230" s="7" t="b">
        <v>0</v>
      </c>
      <c r="J230" s="52" t="s">
        <v>421</v>
      </c>
      <c r="K230" s="52" t="s">
        <v>420</v>
      </c>
      <c r="L230" s="48"/>
      <c r="M230" s="48"/>
    </row>
    <row r="231" spans="1:18" ht="31.2">
      <c r="A231" s="3" cm="1">
        <f t="array" aca="1" ref="A231" ca="1">INDIRECT("A"&amp;ROW()-1)+1</f>
        <v>129</v>
      </c>
      <c r="B231" s="3">
        <v>126</v>
      </c>
      <c r="C231" s="3" t="str">
        <f ca="1">A12&amp;"any['结构'] and "&amp;A227&amp;"==True"</f>
        <v>7any['结构'] and 127==True</v>
      </c>
      <c r="D231" s="4" t="s">
        <v>297</v>
      </c>
      <c r="E231" s="5" t="s">
        <v>5</v>
      </c>
      <c r="F231" s="56" t="s">
        <v>134</v>
      </c>
      <c r="G231" s="5" t="s">
        <v>1</v>
      </c>
      <c r="H231" s="80">
        <v>1</v>
      </c>
      <c r="I231" s="7" t="b">
        <v>1</v>
      </c>
      <c r="J231" s="37" t="s">
        <v>257</v>
      </c>
      <c r="L231" s="48">
        <f>L229</f>
        <v>15</v>
      </c>
      <c r="M231" s="42" t="s">
        <v>337</v>
      </c>
      <c r="N231" s="51" t="s">
        <v>474</v>
      </c>
      <c r="R231" s="19" t="s">
        <v>185</v>
      </c>
    </row>
    <row r="232" spans="1:18">
      <c r="A232" s="3" cm="1">
        <f t="array" aca="1" ref="A232" ca="1">INDIRECT("A"&amp;ROW()-1)</f>
        <v>129</v>
      </c>
      <c r="B232" s="3" t="s">
        <v>858</v>
      </c>
      <c r="F232" s="55" t="str">
        <f>F231</f>
        <v>FALSE</v>
      </c>
      <c r="G232" s="5" t="s">
        <v>2</v>
      </c>
      <c r="H232" s="80">
        <v>2</v>
      </c>
      <c r="I232" s="7" t="b">
        <v>0</v>
      </c>
      <c r="J232" s="52" t="s">
        <v>422</v>
      </c>
      <c r="K232" s="51" t="s">
        <v>423</v>
      </c>
      <c r="L232" s="48"/>
      <c r="M232" s="48"/>
    </row>
    <row r="233" spans="1:18" ht="31.2">
      <c r="A233" s="3" cm="1">
        <f t="array" aca="1" ref="A233" ca="1">INDIRECT("A"&amp;ROW()-1)+1</f>
        <v>130</v>
      </c>
      <c r="B233" s="3">
        <v>127</v>
      </c>
      <c r="C233" s="3" t="str">
        <f ca="1">A231&amp;"==True"</f>
        <v>129==True</v>
      </c>
      <c r="D233" s="4" t="s">
        <v>298</v>
      </c>
      <c r="E233" s="11" t="s">
        <v>145</v>
      </c>
      <c r="F233" s="45" t="s">
        <v>125</v>
      </c>
      <c r="H233" s="80">
        <v>1</v>
      </c>
      <c r="I233" s="15" t="s">
        <v>129</v>
      </c>
      <c r="J233" s="15"/>
      <c r="K233" s="38" t="s">
        <v>299</v>
      </c>
      <c r="L233" s="44">
        <f>L231</f>
        <v>15</v>
      </c>
      <c r="M233" s="42" t="s">
        <v>337</v>
      </c>
      <c r="O233" s="16"/>
      <c r="P233" s="8"/>
      <c r="Q233" s="18"/>
      <c r="R233" s="19" t="s">
        <v>187</v>
      </c>
    </row>
    <row r="234" spans="1:18" ht="31.2">
      <c r="A234" s="3" cm="1">
        <f t="array" aca="1" ref="A234" ca="1">INDIRECT("A"&amp;ROW()-1)+1</f>
        <v>131</v>
      </c>
      <c r="B234" s="3">
        <v>128</v>
      </c>
      <c r="C234" s="3" t="str">
        <f ca="1">A12&amp;"any['结构']"</f>
        <v>7any['结构']</v>
      </c>
      <c r="D234" s="4" t="s">
        <v>186</v>
      </c>
      <c r="E234" s="5" t="s">
        <v>5</v>
      </c>
      <c r="F234" s="45" t="s">
        <v>134</v>
      </c>
      <c r="G234" s="5" t="s">
        <v>1</v>
      </c>
      <c r="H234" s="80">
        <v>1</v>
      </c>
      <c r="I234" s="7" t="b">
        <v>1</v>
      </c>
      <c r="J234" s="37" t="s">
        <v>257</v>
      </c>
      <c r="L234" s="48">
        <f>L224</f>
        <v>15</v>
      </c>
      <c r="M234" s="42" t="s">
        <v>344</v>
      </c>
      <c r="N234" s="51" t="s">
        <v>475</v>
      </c>
      <c r="R234" s="98" t="s">
        <v>964</v>
      </c>
    </row>
    <row r="235" spans="1:18">
      <c r="A235" s="3" cm="1">
        <f t="array" aca="1" ref="A235" ca="1">INDIRECT("A"&amp;ROW()-1)</f>
        <v>131</v>
      </c>
      <c r="B235" s="3" t="s">
        <v>858</v>
      </c>
      <c r="F235" s="55" t="str">
        <f>F234</f>
        <v>FALSE</v>
      </c>
      <c r="G235" s="5" t="s">
        <v>2</v>
      </c>
      <c r="H235" s="80">
        <v>2</v>
      </c>
      <c r="I235" s="7" t="b">
        <v>0</v>
      </c>
      <c r="J235" s="52" t="s">
        <v>425</v>
      </c>
      <c r="K235" s="52" t="s">
        <v>424</v>
      </c>
      <c r="L235" s="48"/>
      <c r="M235" s="48"/>
    </row>
    <row r="236" spans="1:18" ht="31.2">
      <c r="A236" s="3" cm="1">
        <f t="array" aca="1" ref="A236" ca="1">INDIRECT("A"&amp;ROW()-1)+1</f>
        <v>132</v>
      </c>
      <c r="B236" s="3">
        <v>129</v>
      </c>
      <c r="C236" s="3" t="str">
        <f ca="1">A234&amp;"==True"</f>
        <v>131==True</v>
      </c>
      <c r="D236" s="4" t="s">
        <v>242</v>
      </c>
      <c r="E236" s="11" t="s">
        <v>145</v>
      </c>
      <c r="F236" s="45" t="s">
        <v>125</v>
      </c>
      <c r="H236" s="80">
        <v>1</v>
      </c>
      <c r="I236" s="15" t="s">
        <v>129</v>
      </c>
      <c r="J236" s="15"/>
      <c r="K236" s="38" t="s">
        <v>300</v>
      </c>
      <c r="L236" s="44">
        <f>L234</f>
        <v>15</v>
      </c>
      <c r="M236" s="42" t="s">
        <v>344</v>
      </c>
      <c r="O236" s="16"/>
      <c r="P236" s="8"/>
      <c r="Q236" s="18"/>
      <c r="R236" s="19" t="s">
        <v>188</v>
      </c>
    </row>
    <row r="237" spans="1:18">
      <c r="A237" s="3" cm="1">
        <f t="array" aca="1" ref="A237" ca="1">INDIRECT("A"&amp;ROW()-1)+1</f>
        <v>133</v>
      </c>
      <c r="B237" s="3">
        <v>130</v>
      </c>
      <c r="C237" s="3" t="str">
        <f ca="1">A12&amp;"any['结构']"</f>
        <v>7any['结构']</v>
      </c>
      <c r="D237" s="4" t="s">
        <v>598</v>
      </c>
      <c r="E237" s="5" t="s">
        <v>5</v>
      </c>
      <c r="F237" s="56" t="s">
        <v>134</v>
      </c>
      <c r="G237" s="5" t="s">
        <v>1</v>
      </c>
      <c r="H237" s="80">
        <v>1</v>
      </c>
      <c r="I237" s="7" t="b">
        <v>1</v>
      </c>
      <c r="J237" s="52" t="s">
        <v>257</v>
      </c>
      <c r="K237" s="51"/>
      <c r="L237" s="43">
        <v>16</v>
      </c>
      <c r="M237" s="42" t="s">
        <v>337</v>
      </c>
      <c r="N237" s="70" t="s">
        <v>599</v>
      </c>
      <c r="R237" s="69" t="s">
        <v>593</v>
      </c>
    </row>
    <row r="238" spans="1:18">
      <c r="A238" s="3" cm="1">
        <f t="array" aca="1" ref="A238" ca="1">INDIRECT("A"&amp;ROW()-1)</f>
        <v>133</v>
      </c>
      <c r="B238" s="3" t="s">
        <v>858</v>
      </c>
      <c r="F238" s="55" t="str">
        <f>F237</f>
        <v>FALSE</v>
      </c>
      <c r="G238" s="5" t="s">
        <v>2</v>
      </c>
      <c r="H238" s="80">
        <v>2</v>
      </c>
      <c r="I238" s="7" t="b">
        <v>0</v>
      </c>
      <c r="J238" s="68" t="s">
        <v>534</v>
      </c>
      <c r="K238" s="70" t="s">
        <v>596</v>
      </c>
      <c r="L238" s="43"/>
      <c r="M238" s="43"/>
    </row>
    <row r="239" spans="1:18">
      <c r="A239" s="3" cm="1">
        <f t="array" aca="1" ref="A239" ca="1">INDIRECT("A"&amp;ROW()-1)+1</f>
        <v>134</v>
      </c>
      <c r="B239" s="3">
        <v>131</v>
      </c>
      <c r="C239" s="3" t="str">
        <f ca="1">A237&amp;"==True"</f>
        <v>133==True</v>
      </c>
      <c r="D239" s="4" t="s">
        <v>607</v>
      </c>
      <c r="E239" s="68" t="s">
        <v>5</v>
      </c>
      <c r="F239" s="56" t="s">
        <v>134</v>
      </c>
      <c r="G239" s="68" t="s">
        <v>606</v>
      </c>
      <c r="H239" s="80">
        <v>1</v>
      </c>
      <c r="I239" s="68" t="s">
        <v>610</v>
      </c>
      <c r="J239" s="68" t="s">
        <v>612</v>
      </c>
      <c r="K239" s="70" t="s">
        <v>614</v>
      </c>
      <c r="L239" s="43">
        <f>L237</f>
        <v>16</v>
      </c>
      <c r="M239" s="42" t="s">
        <v>337</v>
      </c>
      <c r="N239" s="51"/>
      <c r="R239" s="69" t="s">
        <v>619</v>
      </c>
    </row>
    <row r="240" spans="1:18">
      <c r="A240" s="3" cm="1">
        <f t="array" aca="1" ref="A240" ca="1">INDIRECT("A"&amp;ROW()-1)</f>
        <v>134</v>
      </c>
      <c r="B240" s="3" t="s">
        <v>858</v>
      </c>
      <c r="E240" s="68"/>
      <c r="F240" s="56"/>
      <c r="G240" s="68" t="s">
        <v>609</v>
      </c>
      <c r="H240" s="80">
        <v>2</v>
      </c>
      <c r="I240" s="68" t="s">
        <v>609</v>
      </c>
      <c r="J240" s="68" t="s">
        <v>609</v>
      </c>
      <c r="K240" s="70" t="s">
        <v>613</v>
      </c>
      <c r="L240" s="43"/>
      <c r="M240" s="42"/>
      <c r="N240" s="51"/>
      <c r="R240" s="69"/>
    </row>
    <row r="241" spans="1:18">
      <c r="A241" s="3" cm="1">
        <f t="array" aca="1" ref="A241" ca="1">INDIRECT("A"&amp;ROW()-1)</f>
        <v>134</v>
      </c>
      <c r="B241" s="3" t="s">
        <v>858</v>
      </c>
      <c r="F241" s="56" t="s">
        <v>134</v>
      </c>
      <c r="G241" s="68" t="s">
        <v>608</v>
      </c>
      <c r="H241" s="80">
        <v>3</v>
      </c>
      <c r="I241" s="68" t="s">
        <v>608</v>
      </c>
      <c r="J241" s="68" t="s">
        <v>608</v>
      </c>
      <c r="K241" s="70" t="s">
        <v>613</v>
      </c>
      <c r="L241" s="43"/>
      <c r="M241" s="42"/>
      <c r="N241" s="51"/>
      <c r="R241" s="36"/>
    </row>
    <row r="242" spans="1:18" ht="31.2">
      <c r="A242" s="3" cm="1">
        <f t="array" aca="1" ref="A242" ca="1">INDIRECT("A"&amp;ROW()-1)+1</f>
        <v>135</v>
      </c>
      <c r="B242" s="3">
        <v>132</v>
      </c>
      <c r="C242" s="3" t="str">
        <f ca="1">A237&amp;"==True"</f>
        <v>133==True</v>
      </c>
      <c r="D242" s="4" t="s">
        <v>618</v>
      </c>
      <c r="E242" s="68" t="s">
        <v>5</v>
      </c>
      <c r="F242" s="56" t="s">
        <v>134</v>
      </c>
      <c r="G242" s="68" t="s">
        <v>611</v>
      </c>
      <c r="H242" s="80">
        <v>1</v>
      </c>
      <c r="I242" s="7" t="b">
        <v>1</v>
      </c>
      <c r="J242" s="68" t="s">
        <v>617</v>
      </c>
      <c r="K242" s="70" t="s">
        <v>615</v>
      </c>
      <c r="L242" s="43">
        <f>L239</f>
        <v>16</v>
      </c>
      <c r="M242" s="71" t="s">
        <v>621</v>
      </c>
      <c r="N242" s="51"/>
      <c r="R242" s="69" t="s">
        <v>620</v>
      </c>
    </row>
    <row r="243" spans="1:18">
      <c r="A243" s="3" cm="1">
        <f t="array" aca="1" ref="A243" ca="1">INDIRECT("A"&amp;ROW()-1)</f>
        <v>135</v>
      </c>
      <c r="B243" s="3" t="s">
        <v>858</v>
      </c>
      <c r="F243" s="56" t="s">
        <v>134</v>
      </c>
      <c r="G243" s="68" t="s">
        <v>2</v>
      </c>
      <c r="H243" s="80">
        <v>2</v>
      </c>
      <c r="I243" s="7" t="b">
        <v>0</v>
      </c>
      <c r="J243" s="68" t="s">
        <v>616</v>
      </c>
      <c r="K243" s="70" t="s">
        <v>615</v>
      </c>
      <c r="L243" s="43"/>
      <c r="M243" s="43"/>
    </row>
    <row r="244" spans="1:18" ht="42" customHeight="1">
      <c r="A244" s="3" cm="1">
        <f t="array" aca="1" ref="A244" ca="1">INDIRECT("A"&amp;ROW()-1)+1</f>
        <v>136</v>
      </c>
      <c r="B244" s="3">
        <v>133</v>
      </c>
      <c r="C244" s="3" t="str">
        <f ca="1">A242&amp;"==True"</f>
        <v>135==True</v>
      </c>
      <c r="D244" s="4" t="s">
        <v>623</v>
      </c>
      <c r="E244" s="68" t="s">
        <v>145</v>
      </c>
      <c r="F244" s="45" t="s">
        <v>125</v>
      </c>
      <c r="H244" s="80">
        <v>1</v>
      </c>
      <c r="I244" s="15" t="s">
        <v>129</v>
      </c>
      <c r="J244" s="15"/>
      <c r="K244" s="70" t="s">
        <v>624</v>
      </c>
      <c r="L244" s="44">
        <f>L242</f>
        <v>16</v>
      </c>
      <c r="M244" s="42" t="s">
        <v>337</v>
      </c>
      <c r="N244" s="51"/>
      <c r="O244" s="16"/>
      <c r="P244" s="8"/>
      <c r="Q244" s="22"/>
      <c r="R244" s="69" t="s">
        <v>622</v>
      </c>
    </row>
    <row r="245" spans="1:18">
      <c r="A245" s="3" cm="1">
        <f t="array" aca="1" ref="A245" ca="1">INDIRECT("A"&amp;ROW()-1)+1</f>
        <v>137</v>
      </c>
      <c r="B245" s="3">
        <v>134</v>
      </c>
      <c r="C245" s="3" t="str">
        <f ca="1">A237&amp;"==True"</f>
        <v>133==True</v>
      </c>
      <c r="D245" s="4" t="s">
        <v>597</v>
      </c>
      <c r="E245" s="68" t="s">
        <v>6</v>
      </c>
      <c r="F245" s="56" t="s">
        <v>134</v>
      </c>
      <c r="G245" s="68" t="s">
        <v>389</v>
      </c>
      <c r="H245" s="80">
        <v>1</v>
      </c>
      <c r="I245" s="68" t="s">
        <v>389</v>
      </c>
      <c r="J245" s="68" t="s">
        <v>389</v>
      </c>
      <c r="K245" s="70" t="s">
        <v>595</v>
      </c>
      <c r="L245" s="43">
        <f>L237</f>
        <v>16</v>
      </c>
      <c r="M245" s="42" t="s">
        <v>337</v>
      </c>
      <c r="N245" s="51"/>
      <c r="R245" s="69" t="s">
        <v>594</v>
      </c>
    </row>
    <row r="246" spans="1:18" ht="31.2">
      <c r="A246" s="3" cm="1">
        <f t="array" aca="1" ref="A246" ca="1">INDIRECT("A"&amp;ROW()-1)</f>
        <v>137</v>
      </c>
      <c r="B246" s="3" t="s">
        <v>858</v>
      </c>
      <c r="F246" s="56" t="s">
        <v>134</v>
      </c>
      <c r="G246" s="68" t="s">
        <v>591</v>
      </c>
      <c r="H246" s="80">
        <v>2</v>
      </c>
      <c r="I246" s="68" t="s">
        <v>591</v>
      </c>
      <c r="J246" s="68" t="s">
        <v>591</v>
      </c>
      <c r="K246" s="51"/>
      <c r="L246" s="43"/>
      <c r="M246" s="42"/>
      <c r="N246" s="51"/>
      <c r="R246" s="36"/>
    </row>
    <row r="247" spans="1:18" ht="31.2">
      <c r="A247" s="3" cm="1">
        <f t="array" aca="1" ref="A247" ca="1">INDIRECT("A"&amp;ROW()-1)</f>
        <v>137</v>
      </c>
      <c r="B247" s="3" t="s">
        <v>858</v>
      </c>
      <c r="F247" s="56" t="s">
        <v>134</v>
      </c>
      <c r="G247" s="68" t="s">
        <v>590</v>
      </c>
      <c r="H247" s="80">
        <v>3</v>
      </c>
      <c r="I247" s="68" t="s">
        <v>590</v>
      </c>
      <c r="J247" s="68" t="s">
        <v>590</v>
      </c>
      <c r="K247" s="51"/>
      <c r="L247" s="43"/>
      <c r="M247" s="42"/>
      <c r="N247" s="51"/>
      <c r="R247" s="36"/>
    </row>
    <row r="248" spans="1:18" ht="31.2">
      <c r="A248" s="3" cm="1">
        <f t="array" aca="1" ref="A248" ca="1">INDIRECT("A"&amp;ROW()-1)</f>
        <v>137</v>
      </c>
      <c r="B248" s="3" t="s">
        <v>858</v>
      </c>
      <c r="F248" s="56" t="s">
        <v>134</v>
      </c>
      <c r="G248" s="68" t="s">
        <v>592</v>
      </c>
      <c r="H248" s="80">
        <v>4</v>
      </c>
      <c r="I248" s="68" t="s">
        <v>592</v>
      </c>
      <c r="J248" s="68" t="s">
        <v>592</v>
      </c>
      <c r="K248" s="51"/>
      <c r="L248" s="43"/>
      <c r="M248" s="43"/>
    </row>
    <row r="249" spans="1:18" ht="42" customHeight="1">
      <c r="A249" s="3" cm="1">
        <f t="array" aca="1" ref="A249" ca="1">INDIRECT("A"&amp;ROW()-1)+1</f>
        <v>138</v>
      </c>
      <c r="B249" s="3">
        <v>135</v>
      </c>
      <c r="C249" s="3" t="str">
        <f ca="1">A245&amp;"any['我司设计客户生产','我司设计与生产']"</f>
        <v>137any['我司设计客户生产','我司设计与生产']</v>
      </c>
      <c r="D249" s="4" t="s">
        <v>600</v>
      </c>
      <c r="E249" s="68" t="s">
        <v>145</v>
      </c>
      <c r="F249" s="45" t="s">
        <v>125</v>
      </c>
      <c r="H249" s="80">
        <v>1</v>
      </c>
      <c r="I249" s="15" t="s">
        <v>129</v>
      </c>
      <c r="J249" s="15"/>
      <c r="K249" s="70" t="s">
        <v>601</v>
      </c>
      <c r="L249" s="44">
        <f>L237</f>
        <v>16</v>
      </c>
      <c r="M249" s="42" t="s">
        <v>337</v>
      </c>
      <c r="N249" s="51"/>
      <c r="O249" s="16"/>
      <c r="P249" s="8"/>
      <c r="Q249" s="22"/>
      <c r="R249" s="69" t="s">
        <v>602</v>
      </c>
    </row>
    <row r="250" spans="1:18" ht="42" customHeight="1">
      <c r="A250" s="3" cm="1">
        <f t="array" aca="1" ref="A250" ca="1">INDIRECT("A"&amp;ROW()-1)+1</f>
        <v>139</v>
      </c>
      <c r="B250" s="3">
        <v>136</v>
      </c>
      <c r="C250" s="3" t="str">
        <f ca="1">A245&amp;"any['客供','客户设计我司生产']"</f>
        <v>137any['客供','客户设计我司生产']</v>
      </c>
      <c r="D250" s="4" t="s">
        <v>603</v>
      </c>
      <c r="E250" s="68" t="s">
        <v>145</v>
      </c>
      <c r="F250" s="45" t="s">
        <v>125</v>
      </c>
      <c r="H250" s="80">
        <v>1</v>
      </c>
      <c r="I250" s="15" t="s">
        <v>129</v>
      </c>
      <c r="J250" s="15"/>
      <c r="K250" s="70" t="s">
        <v>604</v>
      </c>
      <c r="L250" s="44">
        <f>L245</f>
        <v>16</v>
      </c>
      <c r="M250" s="42" t="s">
        <v>337</v>
      </c>
      <c r="N250" s="51"/>
      <c r="O250" s="16"/>
      <c r="P250" s="8"/>
      <c r="Q250" s="22"/>
      <c r="R250" s="69" t="s">
        <v>605</v>
      </c>
    </row>
    <row r="251" spans="1:18" ht="31.2">
      <c r="A251" s="3" cm="1">
        <f t="array" aca="1" ref="A251" ca="1">INDIRECT("A"&amp;ROW()-1)+1</f>
        <v>140</v>
      </c>
      <c r="B251" s="3">
        <v>137</v>
      </c>
      <c r="C251" s="3" t="str">
        <f ca="1">A15&amp;"any['结构','硬件','光学']"</f>
        <v>7any['结构','硬件','光学']</v>
      </c>
      <c r="D251" s="4" t="s">
        <v>646</v>
      </c>
      <c r="E251" s="68" t="s">
        <v>5</v>
      </c>
      <c r="F251" s="56" t="s">
        <v>134</v>
      </c>
      <c r="G251" s="5" t="s">
        <v>1</v>
      </c>
      <c r="H251" s="80">
        <v>1</v>
      </c>
      <c r="I251" s="7" t="b">
        <v>1</v>
      </c>
      <c r="J251" s="37" t="s">
        <v>257</v>
      </c>
      <c r="L251" s="48">
        <v>17</v>
      </c>
      <c r="M251" s="71" t="s">
        <v>347</v>
      </c>
      <c r="N251" s="70" t="s">
        <v>648</v>
      </c>
      <c r="R251" s="69" t="s">
        <v>649</v>
      </c>
    </row>
    <row r="252" spans="1:18">
      <c r="A252" s="3" cm="1">
        <f t="array" aca="1" ref="A252" ca="1">INDIRECT("A"&amp;ROW()-1)</f>
        <v>140</v>
      </c>
      <c r="B252" s="3" t="s">
        <v>858</v>
      </c>
      <c r="F252" s="55" t="str">
        <f>F251</f>
        <v>FALSE</v>
      </c>
      <c r="G252" s="5" t="s">
        <v>2</v>
      </c>
      <c r="H252" s="80">
        <v>2</v>
      </c>
      <c r="I252" s="7" t="b">
        <v>0</v>
      </c>
      <c r="J252" s="52" t="s">
        <v>409</v>
      </c>
      <c r="K252" s="70" t="s">
        <v>645</v>
      </c>
      <c r="L252" s="48"/>
      <c r="M252" s="48"/>
    </row>
    <row r="253" spans="1:18" ht="31.2">
      <c r="A253" s="3" cm="1">
        <f t="array" aca="1" ref="A253" ca="1">INDIRECT("A"&amp;ROW()-1)+1</f>
        <v>141</v>
      </c>
      <c r="B253" s="3">
        <v>138</v>
      </c>
      <c r="C253" s="3" t="str">
        <f ca="1">A251&amp;"==True"</f>
        <v>140==True</v>
      </c>
      <c r="D253" s="4" t="s">
        <v>647</v>
      </c>
      <c r="E253" s="11" t="s">
        <v>145</v>
      </c>
      <c r="F253" s="46" t="s">
        <v>125</v>
      </c>
      <c r="H253" s="80">
        <v>1</v>
      </c>
      <c r="I253" s="15" t="s">
        <v>129</v>
      </c>
      <c r="J253" s="15"/>
      <c r="K253" s="70" t="s">
        <v>644</v>
      </c>
      <c r="L253" s="44">
        <f>L251</f>
        <v>17</v>
      </c>
      <c r="M253" s="71" t="s">
        <v>347</v>
      </c>
      <c r="O253" s="16"/>
      <c r="P253" s="8"/>
      <c r="Q253" s="18"/>
      <c r="R253" s="98" t="s">
        <v>965</v>
      </c>
    </row>
    <row r="254" spans="1:18" ht="31.2">
      <c r="A254" s="3" cm="1">
        <f t="array" aca="1" ref="A254" ca="1">INDIRECT("A"&amp;ROW()-1)+1</f>
        <v>142</v>
      </c>
      <c r="B254" s="3">
        <v>139</v>
      </c>
      <c r="C254" s="3" t="str">
        <f ca="1">A12&amp;"any['结构','光学','光源','硬件']"</f>
        <v>7any['结构','光学','光源','硬件']</v>
      </c>
      <c r="D254" s="4" t="s">
        <v>650</v>
      </c>
      <c r="E254" s="5" t="s">
        <v>5</v>
      </c>
      <c r="F254" s="56" t="s">
        <v>134</v>
      </c>
      <c r="G254" s="5" t="s">
        <v>1</v>
      </c>
      <c r="H254" s="80">
        <v>1</v>
      </c>
      <c r="I254" s="7" t="b">
        <v>1</v>
      </c>
      <c r="J254" s="68" t="s">
        <v>651</v>
      </c>
      <c r="K254" s="68" t="s">
        <v>652</v>
      </c>
      <c r="L254" s="48">
        <f>L251</f>
        <v>17</v>
      </c>
      <c r="M254" s="42" t="s">
        <v>337</v>
      </c>
      <c r="N254" s="70" t="s">
        <v>651</v>
      </c>
      <c r="R254" s="69" t="s">
        <v>655</v>
      </c>
    </row>
    <row r="255" spans="1:18">
      <c r="A255" s="3" cm="1">
        <f t="array" aca="1" ref="A255" ca="1">INDIRECT("A"&amp;ROW()-1)</f>
        <v>142</v>
      </c>
      <c r="B255" s="3" t="s">
        <v>858</v>
      </c>
      <c r="F255" s="55" t="str">
        <f>F254</f>
        <v>FALSE</v>
      </c>
      <c r="G255" s="5" t="s">
        <v>2</v>
      </c>
      <c r="H255" s="80">
        <v>2</v>
      </c>
      <c r="I255" s="7" t="b">
        <v>0</v>
      </c>
      <c r="J255" s="68" t="s">
        <v>654</v>
      </c>
      <c r="K255" s="68" t="s">
        <v>653</v>
      </c>
      <c r="L255" s="48"/>
      <c r="M255" s="48"/>
    </row>
    <row r="256" spans="1:18" ht="31.2">
      <c r="A256" s="3" cm="1">
        <f t="array" aca="1" ref="A256" ca="1">INDIRECT("A"&amp;ROW()-1)+1</f>
        <v>143</v>
      </c>
      <c r="B256" s="3">
        <v>140</v>
      </c>
      <c r="C256" s="3" t="str">
        <f ca="1">A12&amp;"any['结构','光学','光源','硬件']"</f>
        <v>7any['结构','光学','光源','硬件']</v>
      </c>
      <c r="D256" s="4" t="s">
        <v>661</v>
      </c>
      <c r="E256" s="11" t="s">
        <v>145</v>
      </c>
      <c r="F256" s="46" t="s">
        <v>125</v>
      </c>
      <c r="H256" s="80">
        <v>1</v>
      </c>
      <c r="I256" s="15" t="s">
        <v>129</v>
      </c>
      <c r="J256" s="15"/>
      <c r="K256" s="70" t="s">
        <v>663</v>
      </c>
      <c r="L256" s="44">
        <f>L254</f>
        <v>17</v>
      </c>
      <c r="M256" s="71" t="s">
        <v>656</v>
      </c>
      <c r="O256" s="16"/>
      <c r="P256" s="8"/>
      <c r="Q256" s="18"/>
      <c r="R256" s="69" t="s">
        <v>662</v>
      </c>
    </row>
    <row r="257" spans="1:19">
      <c r="A257" s="3" cm="1">
        <f t="array" aca="1" ref="A257" ca="1">INDIRECT("A"&amp;ROW()-1)+1</f>
        <v>144</v>
      </c>
      <c r="B257" s="3">
        <v>141</v>
      </c>
      <c r="C257" s="3" t="str">
        <f ca="1">A12&amp;"any['硬件']"</f>
        <v>7any['硬件']</v>
      </c>
      <c r="D257" s="4" t="s">
        <v>13</v>
      </c>
      <c r="E257" s="5" t="s">
        <v>5</v>
      </c>
      <c r="F257" s="56" t="s">
        <v>134</v>
      </c>
      <c r="G257" s="5" t="s">
        <v>14</v>
      </c>
      <c r="H257" s="80">
        <v>1</v>
      </c>
      <c r="I257" s="7" t="s">
        <v>56</v>
      </c>
      <c r="J257" s="52" t="s">
        <v>56</v>
      </c>
      <c r="K257" s="52" t="s">
        <v>426</v>
      </c>
      <c r="L257" s="48">
        <v>21</v>
      </c>
      <c r="M257" s="42" t="s">
        <v>337</v>
      </c>
      <c r="N257" s="51"/>
      <c r="R257" s="19" t="s">
        <v>189</v>
      </c>
    </row>
    <row r="258" spans="1:19">
      <c r="A258" s="3" cm="1">
        <f t="array" aca="1" ref="A258" ca="1">INDIRECT("A"&amp;ROW()-1)</f>
        <v>144</v>
      </c>
      <c r="B258" s="3" t="s">
        <v>858</v>
      </c>
      <c r="F258" s="55" t="str">
        <f>F257</f>
        <v>FALSE</v>
      </c>
      <c r="G258" s="5" t="s">
        <v>15</v>
      </c>
      <c r="H258" s="80">
        <v>2</v>
      </c>
      <c r="I258" s="7" t="s">
        <v>57</v>
      </c>
      <c r="J258" s="52" t="s">
        <v>57</v>
      </c>
      <c r="K258" s="52" t="s">
        <v>426</v>
      </c>
      <c r="L258" s="48"/>
      <c r="M258" s="48"/>
      <c r="N258" s="51"/>
      <c r="R258" s="26"/>
    </row>
    <row r="259" spans="1:19">
      <c r="A259" s="3" cm="1">
        <f t="array" aca="1" ref="A259" ca="1">INDIRECT("A"&amp;ROW()-1)+1</f>
        <v>145</v>
      </c>
      <c r="B259" s="3">
        <v>142</v>
      </c>
      <c r="C259" s="3" t="str">
        <f ca="1">A257&amp;"any['直流输入']"</f>
        <v>144any['直流输入']</v>
      </c>
      <c r="D259" s="4" t="s">
        <v>136</v>
      </c>
      <c r="E259" s="5" t="s">
        <v>5</v>
      </c>
      <c r="F259" s="56" t="s">
        <v>134</v>
      </c>
      <c r="G259" s="110" t="s">
        <v>1045</v>
      </c>
      <c r="H259" s="80">
        <v>5</v>
      </c>
      <c r="I259" s="110" t="s">
        <v>1046</v>
      </c>
      <c r="J259" s="110" t="s">
        <v>1046</v>
      </c>
      <c r="K259" s="38" t="s">
        <v>301</v>
      </c>
      <c r="L259" s="48">
        <f>L257</f>
        <v>21</v>
      </c>
      <c r="M259" s="42" t="s">
        <v>337</v>
      </c>
      <c r="R259" s="19" t="s">
        <v>190</v>
      </c>
    </row>
    <row r="260" spans="1:19">
      <c r="A260" s="3" cm="1">
        <f t="array" aca="1" ref="A260" ca="1">INDIRECT("A"&amp;ROW()-1)</f>
        <v>145</v>
      </c>
      <c r="B260" s="3" t="s">
        <v>858</v>
      </c>
      <c r="F260" s="55" t="str">
        <f>F259</f>
        <v>FALSE</v>
      </c>
      <c r="G260" s="23" t="s">
        <v>137</v>
      </c>
      <c r="H260" s="80">
        <v>1</v>
      </c>
      <c r="I260" s="37" t="s">
        <v>302</v>
      </c>
      <c r="J260" s="37" t="s">
        <v>302</v>
      </c>
      <c r="K260" s="38" t="s">
        <v>301</v>
      </c>
      <c r="L260" s="48"/>
      <c r="M260" s="48"/>
      <c r="R260" s="26"/>
    </row>
    <row r="261" spans="1:19">
      <c r="A261" s="3" cm="1">
        <f t="array" aca="1" ref="A261" ca="1">INDIRECT("A"&amp;ROW()-1)</f>
        <v>145</v>
      </c>
      <c r="B261" s="3" t="s">
        <v>858</v>
      </c>
      <c r="F261" s="55" t="str">
        <f>F260</f>
        <v>FALSE</v>
      </c>
      <c r="G261" s="23" t="s">
        <v>138</v>
      </c>
      <c r="H261" s="80">
        <v>2</v>
      </c>
      <c r="I261" s="37" t="s">
        <v>303</v>
      </c>
      <c r="J261" s="37" t="s">
        <v>303</v>
      </c>
      <c r="K261" s="38" t="s">
        <v>301</v>
      </c>
      <c r="L261" s="48"/>
      <c r="M261" s="48"/>
      <c r="R261" s="26"/>
    </row>
    <row r="262" spans="1:19">
      <c r="A262" s="3" cm="1">
        <f t="array" aca="1" ref="A262" ca="1">INDIRECT("A"&amp;ROW()-1)</f>
        <v>145</v>
      </c>
      <c r="B262" s="3" t="s">
        <v>858</v>
      </c>
      <c r="F262" s="55" t="str">
        <f>F261</f>
        <v>FALSE</v>
      </c>
      <c r="G262" s="23" t="s">
        <v>141</v>
      </c>
      <c r="H262" s="80">
        <v>3</v>
      </c>
      <c r="I262" s="37" t="s">
        <v>304</v>
      </c>
      <c r="J262" s="37" t="s">
        <v>304</v>
      </c>
      <c r="K262" s="38" t="s">
        <v>301</v>
      </c>
      <c r="L262" s="48"/>
      <c r="M262" s="48"/>
      <c r="R262" s="26"/>
    </row>
    <row r="263" spans="1:19">
      <c r="A263" s="3" cm="1">
        <f t="array" aca="1" ref="A263" ca="1">INDIRECT("A"&amp;ROW()-1)</f>
        <v>145</v>
      </c>
      <c r="F263" s="55" t="str">
        <f>F262</f>
        <v>FALSE</v>
      </c>
      <c r="G263" s="23" t="s">
        <v>142</v>
      </c>
      <c r="H263" s="80">
        <v>4</v>
      </c>
      <c r="I263" s="37" t="s">
        <v>305</v>
      </c>
      <c r="J263" s="37" t="s">
        <v>305</v>
      </c>
      <c r="K263" s="38" t="s">
        <v>301</v>
      </c>
      <c r="L263" s="48"/>
      <c r="M263" s="48"/>
      <c r="R263" s="26"/>
    </row>
    <row r="264" spans="1:19">
      <c r="A264" s="3" cm="1">
        <f t="array" aca="1" ref="A264" ca="1">INDIRECT("A"&amp;ROW()-1)+1</f>
        <v>146</v>
      </c>
      <c r="B264" s="3">
        <v>143</v>
      </c>
      <c r="C264" s="3" t="str">
        <f ca="1">A257&amp;"any['交流输入']"</f>
        <v>144any['交流输入']</v>
      </c>
      <c r="D264" s="4" t="s">
        <v>191</v>
      </c>
      <c r="E264" s="5" t="s">
        <v>5</v>
      </c>
      <c r="F264" s="56" t="s">
        <v>134</v>
      </c>
      <c r="G264" s="23" t="s">
        <v>139</v>
      </c>
      <c r="H264" s="80">
        <v>1</v>
      </c>
      <c r="I264" s="37" t="s">
        <v>140</v>
      </c>
      <c r="J264" s="37" t="s">
        <v>140</v>
      </c>
      <c r="K264" s="38" t="s">
        <v>306</v>
      </c>
      <c r="L264" s="48">
        <f>L257</f>
        <v>21</v>
      </c>
      <c r="M264" s="42" t="s">
        <v>337</v>
      </c>
      <c r="R264" s="19" t="s">
        <v>192</v>
      </c>
    </row>
    <row r="265" spans="1:19">
      <c r="A265" s="3" cm="1">
        <f t="array" aca="1" ref="A265" ca="1">INDIRECT("A"&amp;ROW()-1)+1</f>
        <v>147</v>
      </c>
      <c r="B265" s="3">
        <v>144</v>
      </c>
      <c r="C265" s="3" t="str">
        <f ca="1">A12&amp;"any['光源','硬件']"</f>
        <v>7any['光源','硬件']</v>
      </c>
      <c r="D265" s="4" t="s">
        <v>193</v>
      </c>
      <c r="E265" s="5" t="s">
        <v>5</v>
      </c>
      <c r="F265" s="56" t="s">
        <v>134</v>
      </c>
      <c r="G265" s="5" t="s">
        <v>1</v>
      </c>
      <c r="H265" s="80">
        <v>1</v>
      </c>
      <c r="I265" s="7" t="b">
        <v>1</v>
      </c>
      <c r="J265" s="37" t="s">
        <v>257</v>
      </c>
      <c r="L265" s="48">
        <f>L257</f>
        <v>21</v>
      </c>
      <c r="M265" s="42" t="s">
        <v>337</v>
      </c>
      <c r="N265" s="51"/>
      <c r="R265" s="98" t="s">
        <v>966</v>
      </c>
    </row>
    <row r="266" spans="1:19">
      <c r="A266" s="3" cm="1">
        <f t="array" aca="1" ref="A266" ca="1">INDIRECT("A"&amp;ROW()-1)</f>
        <v>147</v>
      </c>
      <c r="B266" s="3" t="s">
        <v>858</v>
      </c>
      <c r="F266" s="55" t="str">
        <f>F265</f>
        <v>FALSE</v>
      </c>
      <c r="G266" s="5" t="s">
        <v>2</v>
      </c>
      <c r="H266" s="80">
        <v>2</v>
      </c>
      <c r="I266" s="7" t="b">
        <v>0</v>
      </c>
      <c r="J266" s="52" t="s">
        <v>439</v>
      </c>
      <c r="K266" s="51" t="s">
        <v>438</v>
      </c>
      <c r="L266" s="48"/>
      <c r="M266" s="48"/>
    </row>
    <row r="267" spans="1:19">
      <c r="A267" s="3" cm="1">
        <f t="array" aca="1" ref="A267" ca="1">INDIRECT("A"&amp;ROW()-1)+1</f>
        <v>148</v>
      </c>
      <c r="B267" s="3">
        <v>145</v>
      </c>
      <c r="C267" s="3" t="str">
        <f ca="1">A265&amp;"==True"</f>
        <v>147==True</v>
      </c>
      <c r="D267" s="4" t="s">
        <v>243</v>
      </c>
      <c r="E267" s="24" t="s">
        <v>144</v>
      </c>
      <c r="F267" s="56" t="s">
        <v>134</v>
      </c>
      <c r="H267" s="80">
        <v>1</v>
      </c>
      <c r="I267" s="15" t="s">
        <v>129</v>
      </c>
      <c r="J267" s="15"/>
      <c r="K267" s="38" t="s">
        <v>309</v>
      </c>
      <c r="L267" s="44">
        <f>L265</f>
        <v>21</v>
      </c>
      <c r="M267" s="42" t="s">
        <v>337</v>
      </c>
      <c r="O267" s="16"/>
      <c r="P267" s="8"/>
      <c r="Q267" s="22" t="s">
        <v>150</v>
      </c>
      <c r="R267" s="98" t="s">
        <v>967</v>
      </c>
      <c r="S267" s="77" t="s">
        <v>760</v>
      </c>
    </row>
    <row r="268" spans="1:19" ht="31.2">
      <c r="A268" s="3" cm="1">
        <f t="array" aca="1" ref="A268" ca="1">INDIRECT("A"&amp;ROW()-1)+1</f>
        <v>149</v>
      </c>
      <c r="B268" s="3">
        <v>146</v>
      </c>
      <c r="C268" s="3" t="str">
        <f ca="1">A12&amp;"any['硬件']"</f>
        <v>7any['硬件']</v>
      </c>
      <c r="D268" s="4" t="s">
        <v>143</v>
      </c>
      <c r="E268" s="5" t="s">
        <v>5</v>
      </c>
      <c r="F268" s="56" t="s">
        <v>134</v>
      </c>
      <c r="G268" s="5" t="s">
        <v>1</v>
      </c>
      <c r="H268" s="80">
        <v>1</v>
      </c>
      <c r="I268" s="7" t="b">
        <v>1</v>
      </c>
      <c r="J268" s="52" t="s">
        <v>428</v>
      </c>
      <c r="K268" s="52" t="s">
        <v>427</v>
      </c>
      <c r="L268" s="48">
        <v>22</v>
      </c>
      <c r="M268" s="42" t="s">
        <v>339</v>
      </c>
      <c r="N268" s="51"/>
      <c r="R268" s="83" t="s">
        <v>783</v>
      </c>
    </row>
    <row r="269" spans="1:19">
      <c r="A269" s="3" cm="1">
        <f t="array" aca="1" ref="A269" ca="1">INDIRECT("A"&amp;ROW()-1)</f>
        <v>149</v>
      </c>
      <c r="B269" s="3" t="s">
        <v>858</v>
      </c>
      <c r="F269" s="55" t="str">
        <f>F268</f>
        <v>FALSE</v>
      </c>
      <c r="G269" s="5" t="s">
        <v>2</v>
      </c>
      <c r="H269" s="80">
        <v>2</v>
      </c>
      <c r="I269" s="7" t="b">
        <v>0</v>
      </c>
      <c r="J269" s="52" t="s">
        <v>430</v>
      </c>
      <c r="K269" s="52" t="s">
        <v>429</v>
      </c>
      <c r="L269" s="48"/>
      <c r="M269" s="48"/>
    </row>
    <row r="270" spans="1:19" ht="46.8">
      <c r="A270" s="3" cm="1">
        <f t="array" aca="1" ref="A270" ca="1">INDIRECT("A"&amp;ROW()-1)+1</f>
        <v>150</v>
      </c>
      <c r="B270" s="3">
        <v>147</v>
      </c>
      <c r="C270" s="3" t="str">
        <f ca="1">A268&amp;"==True"</f>
        <v>149==True</v>
      </c>
      <c r="D270" s="4" t="s">
        <v>307</v>
      </c>
      <c r="E270" s="5" t="s">
        <v>5</v>
      </c>
      <c r="F270" s="56" t="s">
        <v>134</v>
      </c>
      <c r="G270" s="29" t="s">
        <v>1</v>
      </c>
      <c r="H270" s="80">
        <v>1</v>
      </c>
      <c r="I270" s="7" t="b">
        <v>1</v>
      </c>
      <c r="J270" s="52" t="s">
        <v>432</v>
      </c>
      <c r="K270" s="52" t="s">
        <v>431</v>
      </c>
      <c r="L270" s="48">
        <f>L268</f>
        <v>22</v>
      </c>
      <c r="M270" s="42" t="s">
        <v>340</v>
      </c>
      <c r="R270" s="83" t="s">
        <v>784</v>
      </c>
    </row>
    <row r="271" spans="1:19">
      <c r="A271" s="3" cm="1">
        <f t="array" aca="1" ref="A271" ca="1">INDIRECT("A"&amp;ROW()-1)</f>
        <v>150</v>
      </c>
      <c r="B271" s="3" t="s">
        <v>858</v>
      </c>
      <c r="F271" s="55" t="str">
        <f>F270</f>
        <v>FALSE</v>
      </c>
      <c r="G271" s="5" t="s">
        <v>2</v>
      </c>
      <c r="H271" s="80">
        <v>2</v>
      </c>
      <c r="I271" s="7" t="b">
        <v>0</v>
      </c>
      <c r="J271" s="52" t="s">
        <v>434</v>
      </c>
      <c r="K271" s="52" t="s">
        <v>433</v>
      </c>
      <c r="L271" s="48"/>
      <c r="M271" s="48"/>
    </row>
    <row r="272" spans="1:19" ht="46.8">
      <c r="A272" s="3" cm="1">
        <f t="array" aca="1" ref="A272" ca="1">INDIRECT("A"&amp;ROW()-1)+1</f>
        <v>151</v>
      </c>
      <c r="B272" s="3">
        <v>148</v>
      </c>
      <c r="C272" s="3" t="str">
        <f ca="1">A268&amp;"!=True"</f>
        <v>149!=True</v>
      </c>
      <c r="D272" s="4" t="s">
        <v>308</v>
      </c>
      <c r="E272" s="5" t="s">
        <v>5</v>
      </c>
      <c r="F272" s="56" t="s">
        <v>134</v>
      </c>
      <c r="G272" s="5" t="s">
        <v>1</v>
      </c>
      <c r="H272" s="80">
        <v>1</v>
      </c>
      <c r="I272" s="7" t="b">
        <v>1</v>
      </c>
      <c r="J272" s="52" t="s">
        <v>436</v>
      </c>
      <c r="K272" s="52" t="s">
        <v>435</v>
      </c>
      <c r="L272" s="48">
        <f>L268</f>
        <v>22</v>
      </c>
      <c r="M272" s="42" t="s">
        <v>340</v>
      </c>
      <c r="R272" s="83" t="s">
        <v>785</v>
      </c>
    </row>
    <row r="273" spans="1:18">
      <c r="A273" s="3" cm="1">
        <f t="array" aca="1" ref="A273" ca="1">INDIRECT("A"&amp;ROW()-1)</f>
        <v>151</v>
      </c>
      <c r="B273" s="3" t="s">
        <v>858</v>
      </c>
      <c r="F273" s="55" t="str">
        <f>F272</f>
        <v>FALSE</v>
      </c>
      <c r="G273" s="5" t="s">
        <v>2</v>
      </c>
      <c r="H273" s="80">
        <v>2</v>
      </c>
      <c r="I273" s="7" t="b">
        <v>0</v>
      </c>
      <c r="J273" s="52" t="s">
        <v>434</v>
      </c>
      <c r="K273" s="52" t="s">
        <v>437</v>
      </c>
      <c r="L273" s="48"/>
      <c r="M273" s="48"/>
    </row>
    <row r="274" spans="1:18" ht="31.2">
      <c r="A274" s="3" cm="1">
        <f t="array" aca="1" ref="A274" ca="1">INDIRECT("A"&amp;ROW()-1)+1</f>
        <v>152</v>
      </c>
      <c r="B274" s="3">
        <v>149</v>
      </c>
      <c r="C274" s="3" t="str">
        <f ca="1">A12&amp;"any['硬件']"</f>
        <v>7any['硬件']</v>
      </c>
      <c r="D274" s="4" t="s">
        <v>109</v>
      </c>
      <c r="E274" s="5" t="s">
        <v>5</v>
      </c>
      <c r="F274" s="56" t="s">
        <v>125</v>
      </c>
      <c r="G274" s="5" t="s">
        <v>1</v>
      </c>
      <c r="H274" s="80">
        <v>1</v>
      </c>
      <c r="I274" s="7" t="b">
        <v>1</v>
      </c>
      <c r="J274" s="52" t="s">
        <v>408</v>
      </c>
      <c r="K274" s="52" t="s">
        <v>440</v>
      </c>
      <c r="L274" s="48">
        <v>23</v>
      </c>
      <c r="M274" s="42" t="s">
        <v>345</v>
      </c>
      <c r="N274" s="51"/>
      <c r="R274" s="98" t="s">
        <v>968</v>
      </c>
    </row>
    <row r="275" spans="1:18">
      <c r="A275" s="3" cm="1">
        <f t="array" aca="1" ref="A275" ca="1">INDIRECT("A"&amp;ROW()-1)</f>
        <v>152</v>
      </c>
      <c r="B275" s="3" t="s">
        <v>858</v>
      </c>
      <c r="F275" s="55" t="str">
        <f>F274</f>
        <v>TRUE</v>
      </c>
      <c r="G275" s="5" t="s">
        <v>2</v>
      </c>
      <c r="H275" s="80">
        <v>2</v>
      </c>
      <c r="I275" s="7" t="b">
        <v>0</v>
      </c>
      <c r="J275" s="52" t="s">
        <v>409</v>
      </c>
      <c r="K275" s="52" t="s">
        <v>441</v>
      </c>
      <c r="L275" s="48"/>
      <c r="M275" s="48"/>
    </row>
    <row r="276" spans="1:18" ht="31.2">
      <c r="A276" s="3" cm="1">
        <f t="array" aca="1" ref="A276" ca="1">INDIRECT("A"&amp;ROW()-1)+1</f>
        <v>153</v>
      </c>
      <c r="B276" s="3">
        <v>150</v>
      </c>
      <c r="C276" s="3" t="str">
        <f ca="1">A12&amp;"any['硬件']"</f>
        <v>7any['硬件']</v>
      </c>
      <c r="D276" s="4" t="s">
        <v>310</v>
      </c>
      <c r="E276" s="5" t="s">
        <v>5</v>
      </c>
      <c r="F276" s="56" t="s">
        <v>134</v>
      </c>
      <c r="G276" s="5" t="s">
        <v>1</v>
      </c>
      <c r="H276" s="80">
        <v>1</v>
      </c>
      <c r="I276" s="7" t="b">
        <v>1</v>
      </c>
      <c r="J276" s="37" t="s">
        <v>257</v>
      </c>
      <c r="L276" s="48">
        <f>L274</f>
        <v>23</v>
      </c>
      <c r="M276" s="42" t="s">
        <v>345</v>
      </c>
      <c r="N276" s="58" t="s">
        <v>487</v>
      </c>
      <c r="R276" s="98" t="s">
        <v>969</v>
      </c>
    </row>
    <row r="277" spans="1:18">
      <c r="A277" s="3" cm="1">
        <f t="array" aca="1" ref="A277" ca="1">INDIRECT("A"&amp;ROW()-1)</f>
        <v>153</v>
      </c>
      <c r="B277" s="3" t="s">
        <v>858</v>
      </c>
      <c r="F277" s="55" t="str">
        <f>F276</f>
        <v>FALSE</v>
      </c>
      <c r="G277" s="5" t="s">
        <v>2</v>
      </c>
      <c r="H277" s="80">
        <v>2</v>
      </c>
      <c r="I277" s="7" t="b">
        <v>0</v>
      </c>
      <c r="J277" s="52" t="s">
        <v>439</v>
      </c>
      <c r="K277" s="51" t="s">
        <v>442</v>
      </c>
      <c r="L277" s="48"/>
      <c r="M277" s="48"/>
    </row>
    <row r="278" spans="1:18">
      <c r="A278" s="3" cm="1">
        <f t="array" aca="1" ref="A278" ca="1">INDIRECT("A"&amp;ROW()-1)+1</f>
        <v>154</v>
      </c>
      <c r="B278" s="3">
        <v>151</v>
      </c>
      <c r="C278" s="3" t="str">
        <f ca="1">A276&amp;"==True"</f>
        <v>153==True</v>
      </c>
      <c r="D278" s="4" t="s">
        <v>311</v>
      </c>
      <c r="E278" s="11" t="s">
        <v>145</v>
      </c>
      <c r="F278" s="57" t="s">
        <v>125</v>
      </c>
      <c r="H278" s="80">
        <v>1</v>
      </c>
      <c r="I278" s="15" t="s">
        <v>129</v>
      </c>
      <c r="J278" s="15"/>
      <c r="K278" s="38" t="s">
        <v>312</v>
      </c>
      <c r="L278" s="44">
        <f>L276</f>
        <v>23</v>
      </c>
      <c r="M278" s="42" t="s">
        <v>345</v>
      </c>
      <c r="O278" s="16"/>
      <c r="P278" s="8"/>
      <c r="Q278" s="18"/>
      <c r="R278" s="19" t="s">
        <v>194</v>
      </c>
    </row>
    <row r="279" spans="1:18" ht="69" customHeight="1">
      <c r="A279" s="3" cm="1">
        <f t="array" aca="1" ref="A279" ca="1">INDIRECT("A"&amp;ROW()-1)+1</f>
        <v>155</v>
      </c>
      <c r="B279" s="3">
        <v>152</v>
      </c>
      <c r="C279" s="3" t="str">
        <f ca="1">A12&amp;"any['硬件','软件']"</f>
        <v>7any['硬件','软件']</v>
      </c>
      <c r="D279" s="4" t="s">
        <v>689</v>
      </c>
      <c r="E279" s="5" t="s">
        <v>5</v>
      </c>
      <c r="F279" s="56" t="s">
        <v>134</v>
      </c>
      <c r="G279" s="5" t="s">
        <v>1</v>
      </c>
      <c r="H279" s="80">
        <v>1</v>
      </c>
      <c r="I279" s="7" t="b">
        <v>1</v>
      </c>
      <c r="J279" s="37" t="s">
        <v>257</v>
      </c>
      <c r="L279" s="48">
        <v>24</v>
      </c>
      <c r="M279" s="71" t="s">
        <v>346</v>
      </c>
      <c r="N279" s="70" t="s">
        <v>690</v>
      </c>
      <c r="R279" s="69" t="s">
        <v>693</v>
      </c>
    </row>
    <row r="280" spans="1:18">
      <c r="A280" s="3" cm="1">
        <f t="array" aca="1" ref="A280" ca="1">INDIRECT("A"&amp;ROW()-1)</f>
        <v>155</v>
      </c>
      <c r="B280" s="3" t="s">
        <v>858</v>
      </c>
      <c r="F280" s="55" t="str">
        <f>F279</f>
        <v>FALSE</v>
      </c>
      <c r="G280" s="5" t="s">
        <v>2</v>
      </c>
      <c r="H280" s="80">
        <v>2</v>
      </c>
      <c r="I280" s="7" t="b">
        <v>0</v>
      </c>
      <c r="J280" s="68" t="s">
        <v>101</v>
      </c>
      <c r="K280" s="70" t="s">
        <v>691</v>
      </c>
      <c r="L280" s="48"/>
      <c r="M280" s="48"/>
    </row>
    <row r="281" spans="1:18" ht="31.2">
      <c r="A281" s="3" cm="1">
        <f t="array" aca="1" ref="A281" ca="1">INDIRECT("A"&amp;ROW()-1)+1</f>
        <v>156</v>
      </c>
      <c r="B281" s="3">
        <v>153</v>
      </c>
      <c r="C281" s="3" t="str">
        <f ca="1">A279&amp;"==True"</f>
        <v>155==True</v>
      </c>
      <c r="D281" s="4" t="s">
        <v>695</v>
      </c>
      <c r="E281" s="11" t="s">
        <v>145</v>
      </c>
      <c r="F281" s="45" t="s">
        <v>125</v>
      </c>
      <c r="H281" s="80">
        <v>1</v>
      </c>
      <c r="I281" s="15" t="s">
        <v>129</v>
      </c>
      <c r="J281" s="15"/>
      <c r="K281" s="70" t="s">
        <v>692</v>
      </c>
      <c r="L281" s="44">
        <f>L279</f>
        <v>24</v>
      </c>
      <c r="M281" s="71" t="s">
        <v>346</v>
      </c>
      <c r="O281" s="16"/>
      <c r="P281" s="8"/>
      <c r="Q281" s="18"/>
      <c r="R281" s="69" t="s">
        <v>694</v>
      </c>
    </row>
    <row r="282" spans="1:18" ht="69" customHeight="1">
      <c r="A282" s="3" cm="1">
        <f t="array" aca="1" ref="A282" ca="1">INDIRECT("A"&amp;ROW()-1)+1</f>
        <v>157</v>
      </c>
      <c r="B282" s="3">
        <v>154</v>
      </c>
      <c r="C282" s="3" t="str">
        <f ca="1">A12&amp;"any['硬件','软件']"</f>
        <v>7any['硬件','软件']</v>
      </c>
      <c r="D282" s="4" t="s">
        <v>675</v>
      </c>
      <c r="E282" s="5" t="s">
        <v>5</v>
      </c>
      <c r="F282" s="56" t="s">
        <v>134</v>
      </c>
      <c r="G282" s="5" t="s">
        <v>1</v>
      </c>
      <c r="H282" s="80">
        <v>1</v>
      </c>
      <c r="I282" s="7" t="b">
        <v>1</v>
      </c>
      <c r="J282" s="37" t="s">
        <v>257</v>
      </c>
      <c r="L282" s="48">
        <f>L279</f>
        <v>24</v>
      </c>
      <c r="M282" s="71" t="s">
        <v>346</v>
      </c>
      <c r="N282" s="70" t="s">
        <v>678</v>
      </c>
      <c r="R282" s="83" t="s">
        <v>687</v>
      </c>
    </row>
    <row r="283" spans="1:18">
      <c r="A283" s="3" cm="1">
        <f t="array" aca="1" ref="A283" ca="1">INDIRECT("A"&amp;ROW()-1)</f>
        <v>157</v>
      </c>
      <c r="B283" s="3" t="s">
        <v>858</v>
      </c>
      <c r="F283" s="55" t="str">
        <f>F282</f>
        <v>FALSE</v>
      </c>
      <c r="G283" s="5" t="s">
        <v>2</v>
      </c>
      <c r="H283" s="80">
        <v>2</v>
      </c>
      <c r="I283" s="7" t="b">
        <v>0</v>
      </c>
      <c r="J283" s="68" t="s">
        <v>677</v>
      </c>
      <c r="K283" s="70" t="s">
        <v>679</v>
      </c>
      <c r="L283" s="48"/>
      <c r="M283" s="48"/>
    </row>
    <row r="284" spans="1:18" ht="31.2">
      <c r="A284" s="3" cm="1">
        <f t="array" aca="1" ref="A284" ca="1">INDIRECT("A"&amp;ROW()-1)+1</f>
        <v>158</v>
      </c>
      <c r="B284" s="3">
        <v>155</v>
      </c>
      <c r="C284" s="3" t="str">
        <f ca="1">A282&amp;"==True"</f>
        <v>157==True</v>
      </c>
      <c r="D284" s="4" t="s">
        <v>676</v>
      </c>
      <c r="E284" s="11" t="s">
        <v>145</v>
      </c>
      <c r="F284" s="45" t="s">
        <v>125</v>
      </c>
      <c r="H284" s="80">
        <v>1</v>
      </c>
      <c r="I284" s="15" t="s">
        <v>129</v>
      </c>
      <c r="J284" s="15"/>
      <c r="K284" s="70" t="s">
        <v>680</v>
      </c>
      <c r="L284" s="44">
        <f>L282</f>
        <v>24</v>
      </c>
      <c r="M284" s="71" t="s">
        <v>346</v>
      </c>
      <c r="O284" s="16"/>
      <c r="P284" s="8"/>
      <c r="Q284" s="18"/>
      <c r="R284" s="69" t="s">
        <v>681</v>
      </c>
    </row>
    <row r="285" spans="1:18" ht="69" customHeight="1">
      <c r="A285" s="3" cm="1">
        <f t="array" aca="1" ref="A285" ca="1">INDIRECT("A"&amp;ROW()-1)+1</f>
        <v>159</v>
      </c>
      <c r="B285" s="3">
        <v>156</v>
      </c>
      <c r="C285" s="3" t="str">
        <f ca="1">A15&amp;"any['硬件','软件']"</f>
        <v>7any['硬件','软件']</v>
      </c>
      <c r="D285" s="4" t="s">
        <v>683</v>
      </c>
      <c r="E285" s="5" t="s">
        <v>5</v>
      </c>
      <c r="F285" s="56" t="s">
        <v>134</v>
      </c>
      <c r="G285" s="5" t="s">
        <v>1</v>
      </c>
      <c r="H285" s="80">
        <v>1</v>
      </c>
      <c r="I285" s="7" t="b">
        <v>1</v>
      </c>
      <c r="J285" s="37" t="s">
        <v>257</v>
      </c>
      <c r="L285" s="48">
        <f>L279</f>
        <v>24</v>
      </c>
      <c r="M285" s="71" t="s">
        <v>346</v>
      </c>
      <c r="N285" s="70" t="s">
        <v>684</v>
      </c>
      <c r="R285" s="83" t="s">
        <v>786</v>
      </c>
    </row>
    <row r="286" spans="1:18">
      <c r="A286" s="3" cm="1">
        <f t="array" aca="1" ref="A286" ca="1">INDIRECT("A"&amp;ROW()-1)</f>
        <v>159</v>
      </c>
      <c r="B286" s="3" t="s">
        <v>858</v>
      </c>
      <c r="F286" s="55" t="str">
        <f>F285</f>
        <v>FALSE</v>
      </c>
      <c r="G286" s="5" t="s">
        <v>2</v>
      </c>
      <c r="H286" s="80">
        <v>2</v>
      </c>
      <c r="I286" s="7" t="b">
        <v>0</v>
      </c>
      <c r="J286" s="68" t="s">
        <v>677</v>
      </c>
      <c r="K286" s="70" t="s">
        <v>685</v>
      </c>
      <c r="L286" s="48"/>
      <c r="M286" s="48"/>
    </row>
    <row r="287" spans="1:18" ht="31.2">
      <c r="A287" s="3" cm="1">
        <f t="array" aca="1" ref="A287" ca="1">INDIRECT("A"&amp;ROW()-1)+1</f>
        <v>160</v>
      </c>
      <c r="B287" s="3">
        <v>157</v>
      </c>
      <c r="C287" s="3" t="str">
        <f ca="1">A285&amp;"==True"</f>
        <v>159==True</v>
      </c>
      <c r="D287" s="4" t="s">
        <v>682</v>
      </c>
      <c r="E287" s="11" t="s">
        <v>145</v>
      </c>
      <c r="F287" s="45" t="s">
        <v>125</v>
      </c>
      <c r="H287" s="80">
        <v>1</v>
      </c>
      <c r="I287" s="15" t="s">
        <v>129</v>
      </c>
      <c r="J287" s="15"/>
      <c r="K287" s="70" t="s">
        <v>686</v>
      </c>
      <c r="L287" s="44">
        <f>L285</f>
        <v>24</v>
      </c>
      <c r="M287" s="71" t="s">
        <v>346</v>
      </c>
      <c r="O287" s="16"/>
      <c r="P287" s="8"/>
      <c r="Q287" s="18"/>
      <c r="R287" s="69" t="s">
        <v>688</v>
      </c>
    </row>
    <row r="288" spans="1:18" ht="31.2">
      <c r="A288" s="3" cm="1">
        <f t="array" aca="1" ref="A288" ca="1">INDIRECT("A"&amp;ROW()-1)+1</f>
        <v>161</v>
      </c>
      <c r="B288" s="3">
        <v>158</v>
      </c>
      <c r="C288" s="3" t="str">
        <f ca="1">A12&amp;"any['硬件']"</f>
        <v>7any['硬件']</v>
      </c>
      <c r="D288" s="4" t="s">
        <v>17</v>
      </c>
      <c r="E288" s="5" t="s">
        <v>6</v>
      </c>
      <c r="F288" s="56" t="s">
        <v>134</v>
      </c>
      <c r="G288" s="5" t="s">
        <v>19</v>
      </c>
      <c r="H288" s="80">
        <v>1</v>
      </c>
      <c r="I288" s="7" t="s">
        <v>18</v>
      </c>
      <c r="J288" s="7" t="s">
        <v>18</v>
      </c>
      <c r="K288" s="67" t="s">
        <v>313</v>
      </c>
      <c r="L288" s="3">
        <v>25</v>
      </c>
      <c r="M288" s="66" t="s">
        <v>346</v>
      </c>
      <c r="R288" s="19" t="s">
        <v>195</v>
      </c>
    </row>
    <row r="289" spans="1:10">
      <c r="A289" s="3" cm="1">
        <f t="array" aca="1" ref="A289" ca="1">INDIRECT("A"&amp;ROW()-1)</f>
        <v>161</v>
      </c>
      <c r="B289" s="3" t="s">
        <v>858</v>
      </c>
      <c r="F289" s="55" t="str">
        <f>F288</f>
        <v>FALSE</v>
      </c>
      <c r="G289" s="65" t="s">
        <v>20</v>
      </c>
      <c r="H289" s="80">
        <v>2</v>
      </c>
      <c r="I289" s="7" t="s">
        <v>20</v>
      </c>
      <c r="J289" s="7" t="s">
        <v>20</v>
      </c>
    </row>
    <row r="290" spans="1:10">
      <c r="A290" s="3" cm="1">
        <f t="array" aca="1" ref="A290" ca="1">INDIRECT("A"&amp;ROW()-1)</f>
        <v>161</v>
      </c>
      <c r="B290" s="3" t="s">
        <v>858</v>
      </c>
      <c r="F290" s="55" t="str">
        <f>F289</f>
        <v>FALSE</v>
      </c>
      <c r="G290" s="5" t="s">
        <v>22</v>
      </c>
      <c r="H290" s="80">
        <v>3</v>
      </c>
      <c r="I290" s="7" t="s">
        <v>21</v>
      </c>
      <c r="J290" s="7" t="s">
        <v>21</v>
      </c>
    </row>
    <row r="291" spans="1:10">
      <c r="A291" s="3" cm="1">
        <f t="array" aca="1" ref="A291" ca="1">INDIRECT("A"&amp;ROW()-1)</f>
        <v>161</v>
      </c>
      <c r="B291" s="3" t="s">
        <v>858</v>
      </c>
      <c r="F291" s="55" t="str">
        <f t="shared" ref="F291:F338" si="4">F290</f>
        <v>FALSE</v>
      </c>
      <c r="G291" s="5" t="s">
        <v>24</v>
      </c>
      <c r="H291" s="80">
        <v>4</v>
      </c>
      <c r="I291" s="7" t="s">
        <v>23</v>
      </c>
      <c r="J291" s="7" t="s">
        <v>23</v>
      </c>
    </row>
    <row r="292" spans="1:10">
      <c r="A292" s="3" cm="1">
        <f t="array" aca="1" ref="A292" ca="1">INDIRECT("A"&amp;ROW()-1)</f>
        <v>161</v>
      </c>
      <c r="B292" s="3" t="s">
        <v>858</v>
      </c>
      <c r="F292" s="55" t="str">
        <f t="shared" si="4"/>
        <v>FALSE</v>
      </c>
      <c r="G292" s="5" t="s">
        <v>26</v>
      </c>
      <c r="H292" s="80">
        <v>5</v>
      </c>
      <c r="I292" s="7" t="s">
        <v>25</v>
      </c>
      <c r="J292" s="7" t="s">
        <v>25</v>
      </c>
    </row>
    <row r="293" spans="1:10">
      <c r="A293" s="3" cm="1">
        <f t="array" aca="1" ref="A293" ca="1">INDIRECT("A"&amp;ROW()-1)</f>
        <v>161</v>
      </c>
      <c r="B293" s="3" t="s">
        <v>858</v>
      </c>
      <c r="F293" s="55" t="str">
        <f t="shared" si="4"/>
        <v>FALSE</v>
      </c>
      <c r="G293" s="65" t="s">
        <v>519</v>
      </c>
      <c r="H293" s="80">
        <v>6</v>
      </c>
      <c r="I293" s="65" t="s">
        <v>518</v>
      </c>
      <c r="J293" s="65" t="s">
        <v>518</v>
      </c>
    </row>
    <row r="294" spans="1:10">
      <c r="A294" s="3" cm="1">
        <f t="array" aca="1" ref="A294" ca="1">INDIRECT("A"&amp;ROW()-1)</f>
        <v>161</v>
      </c>
      <c r="B294" s="3" t="s">
        <v>858</v>
      </c>
      <c r="F294" s="55" t="str">
        <f t="shared" si="4"/>
        <v>FALSE</v>
      </c>
      <c r="G294" s="5" t="s">
        <v>28</v>
      </c>
      <c r="H294" s="80">
        <v>7</v>
      </c>
      <c r="I294" s="7" t="s">
        <v>27</v>
      </c>
      <c r="J294" s="7" t="s">
        <v>27</v>
      </c>
    </row>
    <row r="295" spans="1:10">
      <c r="A295" s="3" cm="1">
        <f t="array" aca="1" ref="A295" ca="1">INDIRECT("A"&amp;ROW()-1)</f>
        <v>161</v>
      </c>
      <c r="B295" s="3" t="s">
        <v>858</v>
      </c>
      <c r="F295" s="55" t="str">
        <f t="shared" si="4"/>
        <v>FALSE</v>
      </c>
      <c r="G295" s="5" t="s">
        <v>30</v>
      </c>
      <c r="H295" s="80">
        <v>8</v>
      </c>
      <c r="I295" s="7" t="s">
        <v>29</v>
      </c>
      <c r="J295" s="7" t="s">
        <v>29</v>
      </c>
    </row>
    <row r="296" spans="1:10">
      <c r="A296" s="3" cm="1">
        <f t="array" aca="1" ref="A296" ca="1">INDIRECT("A"&amp;ROW()-1)</f>
        <v>161</v>
      </c>
      <c r="B296" s="3" t="s">
        <v>858</v>
      </c>
      <c r="F296" s="55" t="str">
        <f t="shared" si="4"/>
        <v>FALSE</v>
      </c>
      <c r="G296" s="5" t="s">
        <v>32</v>
      </c>
      <c r="H296" s="80">
        <v>9</v>
      </c>
      <c r="I296" s="7" t="s">
        <v>31</v>
      </c>
      <c r="J296" s="7" t="s">
        <v>31</v>
      </c>
    </row>
    <row r="297" spans="1:10">
      <c r="A297" s="3" cm="1">
        <f t="array" aca="1" ref="A297" ca="1">INDIRECT("A"&amp;ROW()-1)</f>
        <v>161</v>
      </c>
      <c r="B297" s="3" t="s">
        <v>858</v>
      </c>
      <c r="F297" s="55" t="str">
        <f t="shared" si="4"/>
        <v>FALSE</v>
      </c>
      <c r="G297" s="5" t="s">
        <v>34</v>
      </c>
      <c r="H297" s="80">
        <v>10</v>
      </c>
      <c r="I297" s="7" t="s">
        <v>33</v>
      </c>
      <c r="J297" s="7" t="s">
        <v>33</v>
      </c>
    </row>
    <row r="298" spans="1:10">
      <c r="A298" s="3" cm="1">
        <f t="array" aca="1" ref="A298" ca="1">INDIRECT("A"&amp;ROW()-1)</f>
        <v>161</v>
      </c>
      <c r="B298" s="3" t="s">
        <v>858</v>
      </c>
      <c r="F298" s="55" t="str">
        <f t="shared" si="4"/>
        <v>FALSE</v>
      </c>
      <c r="G298" s="65" t="s">
        <v>512</v>
      </c>
      <c r="H298" s="80">
        <v>11</v>
      </c>
      <c r="I298" s="65" t="s">
        <v>512</v>
      </c>
      <c r="J298" s="65" t="s">
        <v>512</v>
      </c>
    </row>
    <row r="299" spans="1:10">
      <c r="A299" s="3" cm="1">
        <f t="array" aca="1" ref="A299" ca="1">INDIRECT("A"&amp;ROW()-1)</f>
        <v>161</v>
      </c>
      <c r="B299" s="3" t="s">
        <v>858</v>
      </c>
      <c r="F299" s="55" t="str">
        <f t="shared" si="4"/>
        <v>FALSE</v>
      </c>
      <c r="G299" s="5" t="s">
        <v>36</v>
      </c>
      <c r="H299" s="80">
        <v>12</v>
      </c>
      <c r="I299" s="7" t="s">
        <v>35</v>
      </c>
      <c r="J299" s="7" t="s">
        <v>35</v>
      </c>
    </row>
    <row r="300" spans="1:10">
      <c r="A300" s="3" cm="1">
        <f t="array" aca="1" ref="A300" ca="1">INDIRECT("A"&amp;ROW()-1)</f>
        <v>161</v>
      </c>
      <c r="B300" s="3" t="s">
        <v>858</v>
      </c>
      <c r="F300" s="55" t="str">
        <f t="shared" si="4"/>
        <v>FALSE</v>
      </c>
      <c r="G300" s="5" t="s">
        <v>38</v>
      </c>
      <c r="H300" s="80">
        <v>13</v>
      </c>
      <c r="I300" s="7" t="s">
        <v>37</v>
      </c>
      <c r="J300" s="7" t="s">
        <v>37</v>
      </c>
    </row>
    <row r="301" spans="1:10">
      <c r="A301" s="3" cm="1">
        <f t="array" aca="1" ref="A301" ca="1">INDIRECT("A"&amp;ROW()-1)</f>
        <v>161</v>
      </c>
      <c r="B301" s="3" t="s">
        <v>858</v>
      </c>
      <c r="F301" s="55" t="str">
        <f t="shared" si="4"/>
        <v>FALSE</v>
      </c>
      <c r="G301" s="5" t="s">
        <v>40</v>
      </c>
      <c r="H301" s="80">
        <v>14</v>
      </c>
      <c r="I301" s="7" t="s">
        <v>39</v>
      </c>
      <c r="J301" s="7" t="s">
        <v>39</v>
      </c>
    </row>
    <row r="302" spans="1:10">
      <c r="A302" s="3" cm="1">
        <f t="array" aca="1" ref="A302" ca="1">INDIRECT("A"&amp;ROW()-1)</f>
        <v>161</v>
      </c>
      <c r="B302" s="3" t="s">
        <v>858</v>
      </c>
      <c r="F302" s="55" t="str">
        <f t="shared" si="4"/>
        <v>FALSE</v>
      </c>
      <c r="G302" s="5" t="s">
        <v>42</v>
      </c>
      <c r="H302" s="80">
        <v>15</v>
      </c>
      <c r="I302" s="7" t="s">
        <v>41</v>
      </c>
      <c r="J302" s="7" t="s">
        <v>41</v>
      </c>
    </row>
    <row r="303" spans="1:10">
      <c r="A303" s="3" cm="1">
        <f t="array" aca="1" ref="A303" ca="1">INDIRECT("A"&amp;ROW()-1)</f>
        <v>161</v>
      </c>
      <c r="B303" s="3" t="s">
        <v>858</v>
      </c>
      <c r="F303" s="55" t="str">
        <f t="shared" si="4"/>
        <v>FALSE</v>
      </c>
      <c r="G303" s="5" t="s">
        <v>44</v>
      </c>
      <c r="H303" s="80">
        <v>16</v>
      </c>
      <c r="I303" s="7" t="s">
        <v>43</v>
      </c>
      <c r="J303" s="7" t="s">
        <v>43</v>
      </c>
    </row>
    <row r="304" spans="1:10">
      <c r="A304" s="3" cm="1">
        <f t="array" aca="1" ref="A304" ca="1">INDIRECT("A"&amp;ROW()-1)</f>
        <v>161</v>
      </c>
      <c r="B304" s="3" t="s">
        <v>858</v>
      </c>
      <c r="F304" s="55" t="str">
        <f t="shared" si="4"/>
        <v>FALSE</v>
      </c>
      <c r="G304" s="5" t="s">
        <v>46</v>
      </c>
      <c r="H304" s="80">
        <v>17</v>
      </c>
      <c r="I304" s="7" t="s">
        <v>45</v>
      </c>
      <c r="J304" s="7" t="s">
        <v>45</v>
      </c>
    </row>
    <row r="305" spans="1:18">
      <c r="A305" s="3" cm="1">
        <f t="array" aca="1" ref="A305" ca="1">INDIRECT("A"&amp;ROW()-1)</f>
        <v>161</v>
      </c>
      <c r="F305" s="55" t="str">
        <f t="shared" si="4"/>
        <v>FALSE</v>
      </c>
      <c r="G305" s="113" t="s">
        <v>1050</v>
      </c>
      <c r="H305" s="80">
        <v>18</v>
      </c>
      <c r="I305" s="113" t="s">
        <v>1050</v>
      </c>
      <c r="J305" s="113" t="s">
        <v>1050</v>
      </c>
    </row>
    <row r="306" spans="1:18" ht="31.2">
      <c r="A306" s="3" cm="1">
        <f t="array" aca="1" ref="A306" ca="1">INDIRECT("A"&amp;ROW()-1)+1</f>
        <v>162</v>
      </c>
      <c r="B306" s="3">
        <v>159</v>
      </c>
      <c r="C306" s="3" t="str">
        <f ca="1">A288&amp;"any['以太网','LAN']"</f>
        <v>161any['以太网','LAN']</v>
      </c>
      <c r="D306" s="4" t="s">
        <v>513</v>
      </c>
      <c r="E306" s="65" t="s">
        <v>6</v>
      </c>
      <c r="F306" s="56" t="s">
        <v>134</v>
      </c>
      <c r="G306" s="65" t="s">
        <v>514</v>
      </c>
      <c r="H306" s="80">
        <v>1</v>
      </c>
      <c r="I306" s="65" t="s">
        <v>514</v>
      </c>
      <c r="J306" s="65" t="s">
        <v>514</v>
      </c>
      <c r="K306" s="67" t="s">
        <v>516</v>
      </c>
      <c r="L306" s="48">
        <f>L288</f>
        <v>25</v>
      </c>
      <c r="M306" s="66" t="s">
        <v>346</v>
      </c>
      <c r="N306" s="58"/>
      <c r="R306" s="64" t="s">
        <v>517</v>
      </c>
    </row>
    <row r="307" spans="1:18">
      <c r="A307" s="3" cm="1">
        <f t="array" aca="1" ref="A307" ca="1">INDIRECT("A"&amp;ROW()-1)</f>
        <v>162</v>
      </c>
      <c r="B307" s="3" t="s">
        <v>858</v>
      </c>
      <c r="F307" s="55" t="str">
        <f t="shared" si="4"/>
        <v>FALSE</v>
      </c>
      <c r="G307" s="65" t="s">
        <v>515</v>
      </c>
      <c r="H307" s="80">
        <v>2</v>
      </c>
      <c r="I307" s="65" t="s">
        <v>515</v>
      </c>
      <c r="J307" s="65" t="s">
        <v>515</v>
      </c>
      <c r="K307" s="51"/>
      <c r="L307" s="48"/>
      <c r="M307" s="48"/>
    </row>
    <row r="308" spans="1:18" ht="31.2">
      <c r="A308" s="3" cm="1">
        <f t="array" aca="1" ref="A308" ca="1">INDIRECT("A"&amp;ROW()-1)+1</f>
        <v>163</v>
      </c>
      <c r="B308" s="3">
        <v>160</v>
      </c>
      <c r="C308" s="3" t="str">
        <f ca="1">A288&amp;"any['以太网','LAN']"</f>
        <v>161any['以太网','LAN']</v>
      </c>
      <c r="D308" s="4" t="s">
        <v>708</v>
      </c>
      <c r="E308" s="11" t="s">
        <v>145</v>
      </c>
      <c r="F308" s="45" t="s">
        <v>125</v>
      </c>
      <c r="H308" s="80">
        <v>1</v>
      </c>
      <c r="I308" s="15" t="s">
        <v>129</v>
      </c>
      <c r="J308" s="15"/>
      <c r="K308" s="70" t="s">
        <v>712</v>
      </c>
      <c r="L308" s="44">
        <f>L288</f>
        <v>25</v>
      </c>
      <c r="M308" s="71" t="s">
        <v>346</v>
      </c>
      <c r="O308" s="16"/>
      <c r="P308" s="8"/>
      <c r="Q308" s="18"/>
      <c r="R308" s="98" t="s">
        <v>970</v>
      </c>
    </row>
    <row r="309" spans="1:18" ht="31.2">
      <c r="A309" s="3" cm="1">
        <f t="array" aca="1" ref="A309" ca="1">INDIRECT("A"&amp;ROW()-1)+1</f>
        <v>164</v>
      </c>
      <c r="B309" s="3">
        <v>161</v>
      </c>
      <c r="C309" s="3" t="str">
        <f ca="1">A288&amp;"any['CAN']"</f>
        <v>161any['CAN']</v>
      </c>
      <c r="D309" s="4" t="s">
        <v>710</v>
      </c>
      <c r="E309" s="11" t="s">
        <v>145</v>
      </c>
      <c r="F309" s="45" t="s">
        <v>125</v>
      </c>
      <c r="H309" s="80">
        <v>1</v>
      </c>
      <c r="I309" s="15" t="s">
        <v>129</v>
      </c>
      <c r="J309" s="15"/>
      <c r="K309" s="70" t="s">
        <v>711</v>
      </c>
      <c r="L309" s="44">
        <f>L288</f>
        <v>25</v>
      </c>
      <c r="M309" s="71" t="s">
        <v>346</v>
      </c>
      <c r="O309" s="16"/>
      <c r="P309" s="8"/>
      <c r="Q309" s="18"/>
      <c r="R309" s="98" t="s">
        <v>971</v>
      </c>
    </row>
    <row r="310" spans="1:18" ht="31.2">
      <c r="A310" s="3" cm="1">
        <f t="array" aca="1" ref="A310" ca="1">INDIRECT("A"&amp;ROW()-1)+1</f>
        <v>165</v>
      </c>
      <c r="B310" s="3">
        <v>162</v>
      </c>
      <c r="C310" s="3" t="str">
        <f ca="1">A289&amp;"any['电位器']"</f>
        <v>161any['电位器']</v>
      </c>
      <c r="D310" s="4" t="s">
        <v>709</v>
      </c>
      <c r="E310" s="11" t="s">
        <v>145</v>
      </c>
      <c r="F310" s="45" t="s">
        <v>125</v>
      </c>
      <c r="H310" s="80">
        <v>1</v>
      </c>
      <c r="I310" s="15" t="s">
        <v>129</v>
      </c>
      <c r="J310" s="15"/>
      <c r="K310" s="70" t="s">
        <v>713</v>
      </c>
      <c r="L310" s="44">
        <f>L288</f>
        <v>25</v>
      </c>
      <c r="M310" s="71" t="s">
        <v>346</v>
      </c>
      <c r="O310" s="16"/>
      <c r="P310" s="8"/>
      <c r="Q310" s="18"/>
      <c r="R310" s="98" t="s">
        <v>972</v>
      </c>
    </row>
    <row r="311" spans="1:18" ht="111.6" customHeight="1">
      <c r="A311" s="3" cm="1">
        <f t="array" aca="1" ref="A311" ca="1">INDIRECT("A"&amp;ROW()-1)+1</f>
        <v>166</v>
      </c>
      <c r="B311" s="3">
        <v>163</v>
      </c>
      <c r="C311" s="3" t="str">
        <f ca="1">A288&amp;"any['RS232','RS422','RS485','TTL','IIC','SPI','USB','CAN','以太网','LAN','触控屏']"</f>
        <v>161any['RS232','RS422','RS485','TTL','IIC','SPI','USB','CAN','以太网','LAN','触控屏']</v>
      </c>
      <c r="D311" s="4" t="s">
        <v>668</v>
      </c>
      <c r="E311" s="5" t="s">
        <v>5</v>
      </c>
      <c r="F311" s="56" t="s">
        <v>134</v>
      </c>
      <c r="G311" s="5" t="s">
        <v>1</v>
      </c>
      <c r="H311" s="80">
        <v>1</v>
      </c>
      <c r="I311" s="7" t="b">
        <v>1</v>
      </c>
      <c r="J311" s="37" t="s">
        <v>257</v>
      </c>
      <c r="L311" s="48">
        <f>L288</f>
        <v>25</v>
      </c>
      <c r="M311" s="71" t="s">
        <v>346</v>
      </c>
      <c r="N311" s="70" t="s">
        <v>669</v>
      </c>
      <c r="R311" s="98" t="s">
        <v>674</v>
      </c>
    </row>
    <row r="312" spans="1:18">
      <c r="A312" s="3" cm="1">
        <f t="array" aca="1" ref="A312" ca="1">INDIRECT("A"&amp;ROW()-1)</f>
        <v>166</v>
      </c>
      <c r="B312" s="3" t="s">
        <v>858</v>
      </c>
      <c r="F312" s="55" t="str">
        <f t="shared" si="4"/>
        <v>FALSE</v>
      </c>
      <c r="G312" s="5" t="s">
        <v>2</v>
      </c>
      <c r="H312" s="80">
        <v>2</v>
      </c>
      <c r="I312" s="7" t="b">
        <v>0</v>
      </c>
      <c r="J312" s="68" t="s">
        <v>407</v>
      </c>
      <c r="K312" s="70" t="s">
        <v>670</v>
      </c>
      <c r="L312" s="48"/>
      <c r="M312" s="48"/>
    </row>
    <row r="313" spans="1:18" ht="31.2">
      <c r="A313" s="3" cm="1">
        <f t="array" aca="1" ref="A313" ca="1">INDIRECT("A"&amp;ROW()-1)+1</f>
        <v>167</v>
      </c>
      <c r="B313" s="3">
        <v>164</v>
      </c>
      <c r="C313" s="3" t="str">
        <f ca="1">A311&amp;"==True"</f>
        <v>166==True</v>
      </c>
      <c r="D313" s="4" t="s">
        <v>671</v>
      </c>
      <c r="E313" s="11" t="s">
        <v>145</v>
      </c>
      <c r="F313" s="45" t="s">
        <v>125</v>
      </c>
      <c r="H313" s="80">
        <v>1</v>
      </c>
      <c r="I313" s="15" t="s">
        <v>129</v>
      </c>
      <c r="J313" s="15"/>
      <c r="K313" s="70" t="s">
        <v>672</v>
      </c>
      <c r="L313" s="44">
        <f>L311</f>
        <v>25</v>
      </c>
      <c r="M313" s="71" t="s">
        <v>346</v>
      </c>
      <c r="O313" s="16"/>
      <c r="P313" s="8"/>
      <c r="Q313" s="18"/>
      <c r="R313" s="98" t="s">
        <v>673</v>
      </c>
    </row>
    <row r="314" spans="1:18" ht="69" customHeight="1">
      <c r="A314" s="3" cm="1">
        <f t="array" aca="1" ref="A314" ca="1">INDIRECT("A"&amp;ROW()-1)+1</f>
        <v>168</v>
      </c>
      <c r="B314" s="3">
        <v>165</v>
      </c>
      <c r="C314" s="3" t="str">
        <f ca="1">A291&amp;"any['RS232','RS422','RS485','TTL']"</f>
        <v>161any['RS232','RS422','RS485','TTL']</v>
      </c>
      <c r="D314" s="4" t="s">
        <v>696</v>
      </c>
      <c r="E314" s="5" t="s">
        <v>5</v>
      </c>
      <c r="F314" s="56" t="s">
        <v>134</v>
      </c>
      <c r="G314" s="7">
        <v>9600</v>
      </c>
      <c r="H314" s="80">
        <v>1</v>
      </c>
      <c r="I314" s="7">
        <v>9600</v>
      </c>
      <c r="J314" s="7">
        <v>9600</v>
      </c>
      <c r="K314" s="70" t="s">
        <v>700</v>
      </c>
      <c r="L314" s="48">
        <f>L288</f>
        <v>25</v>
      </c>
      <c r="M314" s="71" t="s">
        <v>346</v>
      </c>
      <c r="N314" s="70" t="s">
        <v>697</v>
      </c>
      <c r="R314" s="69" t="s">
        <v>701</v>
      </c>
    </row>
    <row r="315" spans="1:18" ht="27.6" customHeight="1">
      <c r="A315" s="3" cm="1">
        <f t="array" aca="1" ref="A315" ca="1">INDIRECT("A"&amp;ROW()-1)</f>
        <v>168</v>
      </c>
      <c r="B315" s="3" t="s">
        <v>858</v>
      </c>
      <c r="F315" s="56" t="s">
        <v>134</v>
      </c>
      <c r="G315" s="5">
        <v>19200</v>
      </c>
      <c r="H315" s="80">
        <v>2</v>
      </c>
      <c r="I315" s="5">
        <v>19200</v>
      </c>
      <c r="J315" s="5">
        <v>19200</v>
      </c>
      <c r="K315" s="70" t="s">
        <v>700</v>
      </c>
      <c r="L315" s="48"/>
      <c r="M315" s="71"/>
      <c r="N315" s="70" t="s">
        <v>698</v>
      </c>
      <c r="R315" s="69"/>
    </row>
    <row r="316" spans="1:18" ht="27.6" customHeight="1">
      <c r="A316" s="3" cm="1">
        <f t="array" aca="1" ref="A316" ca="1">INDIRECT("A"&amp;ROW()-1)</f>
        <v>168</v>
      </c>
      <c r="B316" s="3" t="s">
        <v>858</v>
      </c>
      <c r="F316" s="56" t="s">
        <v>134</v>
      </c>
      <c r="G316" s="5">
        <v>38400</v>
      </c>
      <c r="H316" s="80">
        <v>4</v>
      </c>
      <c r="I316" s="5">
        <v>38400</v>
      </c>
      <c r="J316" s="5">
        <v>38400</v>
      </c>
      <c r="K316" s="70" t="s">
        <v>700</v>
      </c>
      <c r="L316" s="48"/>
      <c r="M316" s="71"/>
      <c r="N316" s="116" t="s">
        <v>1054</v>
      </c>
      <c r="R316" s="69"/>
    </row>
    <row r="317" spans="1:18" ht="27.6" customHeight="1">
      <c r="A317" s="3" cm="1">
        <f t="array" aca="1" ref="A317" ca="1">INDIRECT("A"&amp;ROW()-1)</f>
        <v>168</v>
      </c>
      <c r="B317" s="3" t="s">
        <v>858</v>
      </c>
      <c r="F317" s="56" t="s">
        <v>134</v>
      </c>
      <c r="G317" s="5">
        <v>57600</v>
      </c>
      <c r="H317" s="80">
        <v>5</v>
      </c>
      <c r="I317" s="5">
        <v>57600</v>
      </c>
      <c r="J317" s="5">
        <v>57600</v>
      </c>
      <c r="K317" s="70" t="s">
        <v>700</v>
      </c>
      <c r="L317" s="48"/>
      <c r="M317" s="71"/>
      <c r="N317" s="116" t="s">
        <v>1055</v>
      </c>
      <c r="R317" s="69"/>
    </row>
    <row r="318" spans="1:18">
      <c r="A318" s="3" cm="1">
        <f t="array" aca="1" ref="A318" ca="1">INDIRECT("A"&amp;ROW()-1)</f>
        <v>168</v>
      </c>
      <c r="B318" s="3" t="s">
        <v>858</v>
      </c>
      <c r="F318" s="55" t="str">
        <f>F314</f>
        <v>FALSE</v>
      </c>
      <c r="G318" s="7">
        <v>115200</v>
      </c>
      <c r="H318" s="80">
        <v>3</v>
      </c>
      <c r="I318" s="7">
        <v>115200</v>
      </c>
      <c r="J318" s="7">
        <v>115200</v>
      </c>
      <c r="K318" s="70" t="s">
        <v>700</v>
      </c>
      <c r="L318" s="48"/>
      <c r="M318" s="48"/>
      <c r="N318" s="68" t="s">
        <v>699</v>
      </c>
    </row>
    <row r="319" spans="1:18" ht="46.8">
      <c r="A319" s="3" cm="1">
        <f t="array" aca="1" ref="A319" ca="1">INDIRECT("A"&amp;ROW()-1)+1</f>
        <v>169</v>
      </c>
      <c r="B319" s="3">
        <v>166</v>
      </c>
      <c r="C319" s="3" t="str">
        <f ca="1">A292&amp;"any['RS232','RS422','RS485','TTL']"</f>
        <v>161any['RS232','RS422','RS485','TTL']</v>
      </c>
      <c r="D319" s="4" t="s">
        <v>702</v>
      </c>
      <c r="E319" s="11" t="s">
        <v>145</v>
      </c>
      <c r="F319" s="45" t="s">
        <v>125</v>
      </c>
      <c r="H319" s="80">
        <v>1</v>
      </c>
      <c r="I319" s="15" t="s">
        <v>129</v>
      </c>
      <c r="J319" s="15"/>
      <c r="K319" s="70" t="s">
        <v>703</v>
      </c>
      <c r="L319" s="44">
        <f>L288</f>
        <v>25</v>
      </c>
      <c r="M319" s="71" t="s">
        <v>346</v>
      </c>
      <c r="O319" s="16"/>
      <c r="P319" s="8"/>
      <c r="Q319" s="18"/>
      <c r="R319" s="98" t="s">
        <v>973</v>
      </c>
    </row>
    <row r="320" spans="1:18" ht="31.2">
      <c r="A320" s="3" cm="1">
        <f t="array" aca="1" ref="A320" ca="1">INDIRECT("A"&amp;ROW()-1)+1</f>
        <v>170</v>
      </c>
      <c r="B320" s="3">
        <v>167</v>
      </c>
      <c r="C320" s="3" t="str">
        <f ca="1">A293&amp;"any['PWM']"</f>
        <v>161any['PWM']</v>
      </c>
      <c r="D320" s="4" t="s">
        <v>705</v>
      </c>
      <c r="E320" s="11" t="s">
        <v>145</v>
      </c>
      <c r="F320" s="45" t="s">
        <v>125</v>
      </c>
      <c r="H320" s="80">
        <v>1</v>
      </c>
      <c r="I320" s="15" t="s">
        <v>129</v>
      </c>
      <c r="J320" s="15"/>
      <c r="K320" s="70" t="s">
        <v>707</v>
      </c>
      <c r="L320" s="44">
        <f>L288</f>
        <v>25</v>
      </c>
      <c r="M320" s="71" t="s">
        <v>346</v>
      </c>
      <c r="O320" s="16"/>
      <c r="P320" s="8"/>
      <c r="Q320" s="18"/>
      <c r="R320" s="98" t="s">
        <v>974</v>
      </c>
    </row>
    <row r="321" spans="1:18" ht="31.2">
      <c r="A321" s="3" cm="1">
        <f t="array" aca="1" ref="A321" ca="1">INDIRECT("A"&amp;ROW()-1)+1</f>
        <v>171</v>
      </c>
      <c r="B321" s="3">
        <v>168</v>
      </c>
      <c r="C321" s="3" t="str">
        <f ca="1">A294&amp;"any['外部触发']"</f>
        <v>161any['外部触发']</v>
      </c>
      <c r="D321" s="4" t="s">
        <v>704</v>
      </c>
      <c r="E321" s="11" t="s">
        <v>145</v>
      </c>
      <c r="F321" s="45" t="s">
        <v>125</v>
      </c>
      <c r="H321" s="80">
        <v>1</v>
      </c>
      <c r="I321" s="15" t="s">
        <v>129</v>
      </c>
      <c r="J321" s="15"/>
      <c r="K321" s="70" t="s">
        <v>706</v>
      </c>
      <c r="L321" s="44">
        <f>L288</f>
        <v>25</v>
      </c>
      <c r="M321" s="71" t="s">
        <v>346</v>
      </c>
      <c r="O321" s="16"/>
      <c r="P321" s="8"/>
      <c r="Q321" s="18"/>
      <c r="R321" s="98" t="s">
        <v>975</v>
      </c>
    </row>
    <row r="322" spans="1:18" ht="31.2">
      <c r="A322" s="3" cm="1">
        <f t="array" aca="1" ref="A322" ca="1">INDIRECT("A"&amp;ROW()-1)+1</f>
        <v>172</v>
      </c>
      <c r="B322" s="3">
        <v>169</v>
      </c>
      <c r="C322" s="3" t="str">
        <f ca="1">A295&amp;"any['IIC']"</f>
        <v>161any['IIC']</v>
      </c>
      <c r="D322" s="4" t="s">
        <v>716</v>
      </c>
      <c r="E322" s="11" t="s">
        <v>145</v>
      </c>
      <c r="F322" s="45" t="s">
        <v>125</v>
      </c>
      <c r="H322" s="80">
        <v>1</v>
      </c>
      <c r="I322" s="15" t="s">
        <v>129</v>
      </c>
      <c r="J322" s="15"/>
      <c r="K322" s="70" t="s">
        <v>717</v>
      </c>
      <c r="L322" s="44">
        <f>L288</f>
        <v>25</v>
      </c>
      <c r="M322" s="71" t="s">
        <v>346</v>
      </c>
      <c r="O322" s="16"/>
      <c r="P322" s="8"/>
      <c r="Q322" s="18"/>
      <c r="R322" s="98" t="s">
        <v>976</v>
      </c>
    </row>
    <row r="323" spans="1:18" ht="31.2">
      <c r="A323" s="3" cm="1">
        <f t="array" aca="1" ref="A323" ca="1">INDIRECT("A"&amp;ROW()-1)+1</f>
        <v>173</v>
      </c>
      <c r="B323" s="3">
        <v>170</v>
      </c>
      <c r="C323" s="3" t="str">
        <f ca="1">A296&amp;"any['SPI']"</f>
        <v>161any['SPI']</v>
      </c>
      <c r="D323" s="4" t="s">
        <v>718</v>
      </c>
      <c r="E323" s="11" t="s">
        <v>145</v>
      </c>
      <c r="F323" s="45" t="s">
        <v>125</v>
      </c>
      <c r="H323" s="80">
        <v>1</v>
      </c>
      <c r="I323" s="15" t="s">
        <v>129</v>
      </c>
      <c r="J323" s="15"/>
      <c r="K323" s="70" t="s">
        <v>719</v>
      </c>
      <c r="L323" s="44">
        <f>L288</f>
        <v>25</v>
      </c>
      <c r="M323" s="71" t="s">
        <v>346</v>
      </c>
      <c r="O323" s="16"/>
      <c r="P323" s="8"/>
      <c r="Q323" s="18"/>
      <c r="R323" s="98" t="s">
        <v>977</v>
      </c>
    </row>
    <row r="324" spans="1:18" ht="31.2">
      <c r="A324" s="3" cm="1">
        <f t="array" aca="1" ref="A324" ca="1">INDIRECT("A"&amp;ROW()-1)+1</f>
        <v>174</v>
      </c>
      <c r="B324" s="3">
        <v>171</v>
      </c>
      <c r="C324" s="3" t="str">
        <f ca="1">A297&amp;"any['按键开关','踏板']"</f>
        <v>161any['按键开关','踏板']</v>
      </c>
      <c r="D324" s="4" t="s">
        <v>720</v>
      </c>
      <c r="E324" s="11" t="s">
        <v>145</v>
      </c>
      <c r="F324" s="45" t="s">
        <v>125</v>
      </c>
      <c r="H324" s="80">
        <v>1</v>
      </c>
      <c r="I324" s="15" t="s">
        <v>129</v>
      </c>
      <c r="J324" s="15"/>
      <c r="K324" s="70" t="s">
        <v>721</v>
      </c>
      <c r="L324" s="44">
        <f>L288</f>
        <v>25</v>
      </c>
      <c r="M324" s="71" t="s">
        <v>346</v>
      </c>
      <c r="O324" s="16"/>
      <c r="P324" s="8"/>
      <c r="Q324" s="18"/>
      <c r="R324" s="98" t="s">
        <v>978</v>
      </c>
    </row>
    <row r="325" spans="1:18" ht="46.8">
      <c r="A325" s="3" cm="1">
        <f t="array" aca="1" ref="A325" ca="1">INDIRECT("A"&amp;ROW()-1)+1</f>
        <v>175</v>
      </c>
      <c r="B325" s="3">
        <v>172</v>
      </c>
      <c r="C325" s="3" t="str">
        <f ca="1">A298&amp;"any['编码器']"</f>
        <v>161any['编码器']</v>
      </c>
      <c r="D325" s="4" t="s">
        <v>722</v>
      </c>
      <c r="E325" s="11" t="s">
        <v>145</v>
      </c>
      <c r="F325" s="45" t="s">
        <v>125</v>
      </c>
      <c r="H325" s="80">
        <v>1</v>
      </c>
      <c r="I325" s="15" t="s">
        <v>129</v>
      </c>
      <c r="J325" s="15"/>
      <c r="K325" s="70" t="s">
        <v>723</v>
      </c>
      <c r="L325" s="44">
        <f>L288</f>
        <v>25</v>
      </c>
      <c r="M325" s="71" t="s">
        <v>346</v>
      </c>
      <c r="O325" s="16"/>
      <c r="P325" s="8"/>
      <c r="Q325" s="18"/>
      <c r="R325" s="98" t="s">
        <v>979</v>
      </c>
    </row>
    <row r="326" spans="1:18" ht="31.2">
      <c r="A326" s="3" cm="1">
        <f t="array" aca="1" ref="A326" ca="1">INDIRECT("A"&amp;ROW()-1)+1</f>
        <v>176</v>
      </c>
      <c r="B326" s="3">
        <v>173</v>
      </c>
      <c r="C326" s="3" t="str">
        <f ca="1">A299&amp;"any['触控屏']"</f>
        <v>161any['触控屏']</v>
      </c>
      <c r="D326" s="4" t="s">
        <v>724</v>
      </c>
      <c r="E326" s="11" t="s">
        <v>145</v>
      </c>
      <c r="F326" s="45" t="s">
        <v>125</v>
      </c>
      <c r="H326" s="80">
        <v>1</v>
      </c>
      <c r="I326" s="15" t="s">
        <v>129</v>
      </c>
      <c r="J326" s="15"/>
      <c r="K326" s="70" t="s">
        <v>725</v>
      </c>
      <c r="L326" s="44">
        <f>L288</f>
        <v>25</v>
      </c>
      <c r="M326" s="71" t="s">
        <v>346</v>
      </c>
      <c r="O326" s="16"/>
      <c r="P326" s="8"/>
      <c r="Q326" s="18"/>
      <c r="R326" s="98" t="s">
        <v>980</v>
      </c>
    </row>
    <row r="327" spans="1:18" ht="31.2">
      <c r="A327" s="3" cm="1">
        <f t="array" aca="1" ref="A327" ca="1">INDIRECT("A"&amp;ROW()-1)+1</f>
        <v>177</v>
      </c>
      <c r="B327" s="3">
        <v>220</v>
      </c>
      <c r="C327" s="3" t="str">
        <f ca="1">A300&amp;"any['模拟电压']"</f>
        <v>161any['模拟电压']</v>
      </c>
      <c r="D327" s="4" t="s">
        <v>1051</v>
      </c>
      <c r="E327" s="11" t="s">
        <v>145</v>
      </c>
      <c r="F327" s="45" t="s">
        <v>125</v>
      </c>
      <c r="H327" s="80">
        <v>1</v>
      </c>
      <c r="I327" s="15" t="s">
        <v>129</v>
      </c>
      <c r="J327" s="15"/>
      <c r="K327" s="114" t="s">
        <v>1052</v>
      </c>
      <c r="L327" s="44">
        <f>L288</f>
        <v>25</v>
      </c>
      <c r="M327" s="71" t="s">
        <v>346</v>
      </c>
      <c r="O327" s="16"/>
      <c r="P327" s="8"/>
      <c r="Q327" s="18"/>
      <c r="R327" s="115" t="s">
        <v>1053</v>
      </c>
    </row>
    <row r="328" spans="1:18" ht="31.2">
      <c r="A328" s="3" cm="1">
        <f t="array" aca="1" ref="A328" ca="1">INDIRECT("A"&amp;ROW()-1)+1</f>
        <v>178</v>
      </c>
      <c r="B328" s="3">
        <v>174</v>
      </c>
      <c r="C328" s="3" t="str">
        <f ca="1">A12&amp;"any['硬件']"</f>
        <v>7any['硬件']</v>
      </c>
      <c r="D328" s="4" t="s">
        <v>1004</v>
      </c>
      <c r="E328" s="5" t="s">
        <v>5</v>
      </c>
      <c r="F328" s="56" t="s">
        <v>134</v>
      </c>
      <c r="G328" s="5" t="s">
        <v>1</v>
      </c>
      <c r="H328" s="80">
        <v>1</v>
      </c>
      <c r="I328" s="7" t="b">
        <v>1</v>
      </c>
      <c r="J328" s="37" t="s">
        <v>257</v>
      </c>
      <c r="L328" s="48">
        <v>26</v>
      </c>
      <c r="M328" s="42" t="s">
        <v>347</v>
      </c>
      <c r="N328" s="105" t="s">
        <v>1015</v>
      </c>
      <c r="R328" s="104" t="s">
        <v>1005</v>
      </c>
    </row>
    <row r="329" spans="1:18">
      <c r="A329" s="3" cm="1">
        <f t="array" aca="1" ref="A329" ca="1">INDIRECT("A"&amp;ROW()-1)</f>
        <v>178</v>
      </c>
      <c r="B329" s="3" t="s">
        <v>858</v>
      </c>
      <c r="F329" s="55" t="str">
        <f t="shared" si="4"/>
        <v>FALSE</v>
      </c>
      <c r="G329" s="5" t="s">
        <v>2</v>
      </c>
      <c r="H329" s="80">
        <v>2</v>
      </c>
      <c r="I329" s="7" t="b">
        <v>0</v>
      </c>
      <c r="J329" s="52" t="s">
        <v>443</v>
      </c>
      <c r="K329" s="105" t="s">
        <v>1007</v>
      </c>
      <c r="L329" s="48"/>
      <c r="M329" s="48"/>
    </row>
    <row r="330" spans="1:18" ht="31.2">
      <c r="A330" s="3" cm="1">
        <f t="array" aca="1" ref="A330" ca="1">INDIRECT("A"&amp;ROW()-1)+1</f>
        <v>179</v>
      </c>
      <c r="B330" s="3">
        <v>175</v>
      </c>
      <c r="C330" s="3" t="str">
        <f ca="1">A328&amp;"==True"</f>
        <v>178==True</v>
      </c>
      <c r="D330" s="4" t="s">
        <v>1024</v>
      </c>
      <c r="E330" s="5" t="s">
        <v>6</v>
      </c>
      <c r="F330" s="56" t="s">
        <v>134</v>
      </c>
      <c r="G330" s="5" t="s">
        <v>38</v>
      </c>
      <c r="H330" s="80">
        <v>1</v>
      </c>
      <c r="I330" s="7" t="s">
        <v>38</v>
      </c>
      <c r="J330" s="7" t="s">
        <v>38</v>
      </c>
      <c r="K330" s="105" t="s">
        <v>1006</v>
      </c>
      <c r="L330" s="3">
        <f>L328</f>
        <v>26</v>
      </c>
      <c r="M330" s="42" t="s">
        <v>347</v>
      </c>
      <c r="R330" s="104" t="s">
        <v>1008</v>
      </c>
    </row>
    <row r="331" spans="1:18">
      <c r="A331" s="3" cm="1">
        <f t="array" aca="1" ref="A331" ca="1">INDIRECT("A"&amp;ROW()-1)</f>
        <v>179</v>
      </c>
      <c r="B331" s="3" t="s">
        <v>858</v>
      </c>
      <c r="F331" s="55" t="str">
        <f t="shared" si="4"/>
        <v>FALSE</v>
      </c>
      <c r="G331" s="5" t="s">
        <v>40</v>
      </c>
      <c r="H331" s="80">
        <v>2</v>
      </c>
      <c r="I331" s="7" t="s">
        <v>40</v>
      </c>
      <c r="J331" s="7" t="s">
        <v>40</v>
      </c>
    </row>
    <row r="332" spans="1:18">
      <c r="A332" s="3" cm="1">
        <f t="array" aca="1" ref="A332" ca="1">INDIRECT("A"&amp;ROW()-1)</f>
        <v>179</v>
      </c>
      <c r="B332" s="3" t="s">
        <v>858</v>
      </c>
      <c r="F332" s="55" t="str">
        <f t="shared" si="4"/>
        <v>FALSE</v>
      </c>
      <c r="G332" s="5" t="s">
        <v>42</v>
      </c>
      <c r="H332" s="80">
        <v>3</v>
      </c>
      <c r="I332" s="7" t="s">
        <v>42</v>
      </c>
      <c r="J332" s="7" t="s">
        <v>42</v>
      </c>
    </row>
    <row r="333" spans="1:18">
      <c r="A333" s="3" cm="1">
        <f t="array" aca="1" ref="A333" ca="1">INDIRECT("A"&amp;ROW()-1)</f>
        <v>179</v>
      </c>
      <c r="B333" s="3" t="s">
        <v>858</v>
      </c>
      <c r="F333" s="55" t="str">
        <f t="shared" si="4"/>
        <v>FALSE</v>
      </c>
      <c r="G333" s="23" t="s">
        <v>44</v>
      </c>
      <c r="H333" s="80">
        <v>4</v>
      </c>
      <c r="I333" s="7" t="s">
        <v>44</v>
      </c>
      <c r="J333" s="7" t="s">
        <v>44</v>
      </c>
    </row>
    <row r="334" spans="1:18">
      <c r="A334" s="3" cm="1">
        <f t="array" aca="1" ref="A334" ca="1">INDIRECT("A"&amp;ROW()-1)</f>
        <v>179</v>
      </c>
      <c r="B334" s="3" t="s">
        <v>858</v>
      </c>
      <c r="F334" s="55" t="str">
        <f t="shared" si="4"/>
        <v>FALSE</v>
      </c>
      <c r="G334" s="5" t="s">
        <v>92</v>
      </c>
      <c r="H334" s="80">
        <v>5</v>
      </c>
      <c r="I334" s="7" t="s">
        <v>92</v>
      </c>
      <c r="J334" s="7" t="s">
        <v>92</v>
      </c>
    </row>
    <row r="335" spans="1:18">
      <c r="A335" s="3" cm="1">
        <f t="array" aca="1" ref="A335" ca="1">INDIRECT("A"&amp;ROW()-1)</f>
        <v>179</v>
      </c>
      <c r="B335" s="3" t="s">
        <v>858</v>
      </c>
      <c r="F335" s="55" t="str">
        <f t="shared" si="4"/>
        <v>FALSE</v>
      </c>
      <c r="G335" s="5" t="s">
        <v>93</v>
      </c>
      <c r="H335" s="80">
        <v>6</v>
      </c>
      <c r="I335" s="7" t="s">
        <v>93</v>
      </c>
      <c r="J335" s="7" t="s">
        <v>93</v>
      </c>
    </row>
    <row r="336" spans="1:18">
      <c r="A336" s="3" cm="1">
        <f t="array" aca="1" ref="A336" ca="1">INDIRECT("A"&amp;ROW()-1)</f>
        <v>179</v>
      </c>
      <c r="B336" s="3" t="s">
        <v>858</v>
      </c>
      <c r="F336" s="55" t="str">
        <f t="shared" si="4"/>
        <v>FALSE</v>
      </c>
      <c r="G336" s="5" t="s">
        <v>46</v>
      </c>
      <c r="H336" s="80">
        <v>7</v>
      </c>
      <c r="I336" s="7" t="s">
        <v>46</v>
      </c>
      <c r="J336" s="7" t="s">
        <v>46</v>
      </c>
    </row>
    <row r="337" spans="1:18" ht="31.2">
      <c r="A337" s="3" cm="1">
        <f t="array" aca="1" ref="A337" ca="1">INDIRECT("A"&amp;ROW()-1)+1</f>
        <v>180</v>
      </c>
      <c r="B337" s="3">
        <v>176</v>
      </c>
      <c r="C337" s="3" t="str">
        <f ca="1">A328&amp;"==True"</f>
        <v>178==True</v>
      </c>
      <c r="D337" s="4" t="s">
        <v>1009</v>
      </c>
      <c r="E337" s="5" t="s">
        <v>5</v>
      </c>
      <c r="F337" s="56" t="s">
        <v>134</v>
      </c>
      <c r="G337" s="5" t="s">
        <v>1</v>
      </c>
      <c r="H337" s="80">
        <v>1</v>
      </c>
      <c r="I337" s="7" t="b">
        <v>1</v>
      </c>
      <c r="J337" s="37" t="s">
        <v>257</v>
      </c>
      <c r="L337" s="48">
        <f>L330</f>
        <v>26</v>
      </c>
      <c r="M337" s="42" t="s">
        <v>347</v>
      </c>
      <c r="N337" s="58"/>
      <c r="R337" s="104" t="s">
        <v>1010</v>
      </c>
    </row>
    <row r="338" spans="1:18">
      <c r="A338" s="3" cm="1">
        <f t="array" aca="1" ref="A338" ca="1">INDIRECT("A"&amp;ROW()-1)</f>
        <v>180</v>
      </c>
      <c r="B338" s="3" t="s">
        <v>858</v>
      </c>
      <c r="F338" s="55" t="str">
        <f t="shared" si="4"/>
        <v>FALSE</v>
      </c>
      <c r="G338" s="5" t="s">
        <v>2</v>
      </c>
      <c r="H338" s="80">
        <v>2</v>
      </c>
      <c r="I338" s="7" t="b">
        <v>0</v>
      </c>
      <c r="J338" s="52" t="s">
        <v>444</v>
      </c>
      <c r="K338" s="106" t="s">
        <v>1025</v>
      </c>
      <c r="L338" s="48"/>
      <c r="M338" s="48"/>
    </row>
    <row r="339" spans="1:18" ht="31.2">
      <c r="A339" s="3" cm="1">
        <f t="array" aca="1" ref="A339" ca="1">INDIRECT("A"&amp;ROW()-1)+1</f>
        <v>181</v>
      </c>
      <c r="B339" s="3">
        <v>177</v>
      </c>
      <c r="C339" s="3" t="str">
        <f ca="1">A337&amp;"==True"</f>
        <v>180==True</v>
      </c>
      <c r="D339" s="4" t="s">
        <v>1011</v>
      </c>
      <c r="E339" s="11" t="s">
        <v>145</v>
      </c>
      <c r="F339" s="45" t="s">
        <v>125</v>
      </c>
      <c r="H339" s="80">
        <v>1</v>
      </c>
      <c r="I339" s="15" t="s">
        <v>129</v>
      </c>
      <c r="J339" s="15"/>
      <c r="K339" s="105" t="s">
        <v>1012</v>
      </c>
      <c r="L339" s="44">
        <f>L337</f>
        <v>26</v>
      </c>
      <c r="M339" s="42" t="s">
        <v>347</v>
      </c>
      <c r="O339" s="16"/>
      <c r="P339" s="8"/>
      <c r="Q339" s="18"/>
      <c r="R339" s="104" t="s">
        <v>1026</v>
      </c>
    </row>
    <row r="340" spans="1:18" ht="31.2">
      <c r="A340" s="3" cm="1">
        <f t="array" aca="1" ref="A340" ca="1">INDIRECT("A"&amp;ROW()-1)+1</f>
        <v>182</v>
      </c>
      <c r="B340" s="3">
        <v>218</v>
      </c>
      <c r="C340" s="3" t="str">
        <f ca="1">A328&amp;"==True"</f>
        <v>178==True</v>
      </c>
      <c r="D340" s="4" t="s">
        <v>1031</v>
      </c>
      <c r="E340" s="11" t="s">
        <v>145</v>
      </c>
      <c r="F340" s="20" t="b">
        <v>0</v>
      </c>
      <c r="H340" s="80">
        <v>1</v>
      </c>
      <c r="I340" s="15" t="s">
        <v>129</v>
      </c>
      <c r="J340" s="15"/>
      <c r="K340" s="105" t="s">
        <v>1032</v>
      </c>
      <c r="L340" s="44">
        <f>L328</f>
        <v>26</v>
      </c>
      <c r="M340" s="42" t="s">
        <v>347</v>
      </c>
      <c r="O340" s="16"/>
      <c r="P340" s="8"/>
      <c r="Q340" s="18"/>
      <c r="R340" s="104" t="s">
        <v>1036</v>
      </c>
    </row>
    <row r="341" spans="1:18" ht="31.2">
      <c r="A341" s="3" cm="1">
        <f t="array" aca="1" ref="A341" ca="1">INDIRECT("A"&amp;ROW()-1)+1</f>
        <v>183</v>
      </c>
      <c r="B341" s="3">
        <v>178</v>
      </c>
      <c r="C341" s="3" t="str">
        <f ca="1">A12&amp;"any['硬件']"</f>
        <v>7any['硬件']</v>
      </c>
      <c r="D341" s="4" t="s">
        <v>314</v>
      </c>
      <c r="E341" s="5" t="s">
        <v>5</v>
      </c>
      <c r="F341" s="56" t="s">
        <v>134</v>
      </c>
      <c r="G341" s="5" t="s">
        <v>1</v>
      </c>
      <c r="H341" s="80">
        <v>1</v>
      </c>
      <c r="I341" s="7" t="b">
        <v>1</v>
      </c>
      <c r="J341" s="52" t="s">
        <v>446</v>
      </c>
      <c r="K341" s="52" t="s">
        <v>445</v>
      </c>
      <c r="L341" s="48">
        <f>L328</f>
        <v>26</v>
      </c>
      <c r="M341" s="42" t="s">
        <v>347</v>
      </c>
      <c r="N341" s="51"/>
      <c r="R341" s="98" t="s">
        <v>196</v>
      </c>
    </row>
    <row r="342" spans="1:18">
      <c r="A342" s="3" cm="1">
        <f t="array" aca="1" ref="A342" ca="1">INDIRECT("A"&amp;ROW()-1)</f>
        <v>183</v>
      </c>
      <c r="B342" s="3" t="s">
        <v>858</v>
      </c>
      <c r="F342" s="55" t="str">
        <f>F341</f>
        <v>FALSE</v>
      </c>
      <c r="G342" s="5" t="s">
        <v>2</v>
      </c>
      <c r="H342" s="80">
        <v>2</v>
      </c>
      <c r="I342" s="7" t="b">
        <v>0</v>
      </c>
      <c r="J342" s="52" t="s">
        <v>257</v>
      </c>
      <c r="L342" s="48"/>
      <c r="M342" s="48"/>
    </row>
    <row r="343" spans="1:18" ht="31.2">
      <c r="A343" s="3" cm="1">
        <f t="array" aca="1" ref="A343" ca="1">INDIRECT("A"&amp;ROW()-1)+1</f>
        <v>184</v>
      </c>
      <c r="B343" s="3">
        <v>179</v>
      </c>
      <c r="C343" s="3" t="str">
        <f ca="1">A341&amp;"==True"</f>
        <v>183==True</v>
      </c>
      <c r="D343" s="4" t="s">
        <v>135</v>
      </c>
      <c r="E343" s="23" t="s">
        <v>6</v>
      </c>
      <c r="F343" s="56" t="s">
        <v>134</v>
      </c>
      <c r="G343" s="23" t="s">
        <v>94</v>
      </c>
      <c r="H343" s="80">
        <v>1</v>
      </c>
      <c r="I343" s="7" t="s">
        <v>132</v>
      </c>
      <c r="J343" s="7" t="s">
        <v>132</v>
      </c>
      <c r="K343" s="84" t="s">
        <v>768</v>
      </c>
      <c r="L343" s="3">
        <f>L341</f>
        <v>26</v>
      </c>
      <c r="M343" s="42" t="s">
        <v>347</v>
      </c>
      <c r="R343" s="104" t="s">
        <v>1027</v>
      </c>
    </row>
    <row r="344" spans="1:18">
      <c r="A344" s="3" cm="1">
        <f t="array" aca="1" ref="A344" ca="1">INDIRECT("A"&amp;ROW()-1)</f>
        <v>184</v>
      </c>
      <c r="B344" s="3" t="s">
        <v>858</v>
      </c>
      <c r="F344" s="55" t="str">
        <f>F343</f>
        <v>FALSE</v>
      </c>
      <c r="G344" s="5" t="s">
        <v>133</v>
      </c>
      <c r="H344" s="80">
        <v>2</v>
      </c>
      <c r="I344" s="7" t="s">
        <v>133</v>
      </c>
      <c r="J344" s="7" t="s">
        <v>133</v>
      </c>
    </row>
    <row r="345" spans="1:18" ht="31.2">
      <c r="A345" s="3" cm="1">
        <f t="array" aca="1" ref="A345" ca="1">INDIRECT("A"&amp;ROW()-1)</f>
        <v>184</v>
      </c>
      <c r="B345" s="3" t="s">
        <v>858</v>
      </c>
      <c r="F345" s="55" t="str">
        <f>F344</f>
        <v>FALSE</v>
      </c>
      <c r="G345" s="60" t="s">
        <v>491</v>
      </c>
      <c r="H345" s="80">
        <v>3</v>
      </c>
      <c r="I345" s="60" t="s">
        <v>491</v>
      </c>
      <c r="J345" s="60" t="s">
        <v>491</v>
      </c>
    </row>
    <row r="346" spans="1:18">
      <c r="A346" s="3" cm="1">
        <f t="array" aca="1" ref="A346" ca="1">INDIRECT("A"&amp;ROW()-1)</f>
        <v>184</v>
      </c>
      <c r="B346" s="3" t="s">
        <v>858</v>
      </c>
      <c r="F346" s="55" t="str">
        <f>F345</f>
        <v>FALSE</v>
      </c>
      <c r="G346" s="60" t="s">
        <v>44</v>
      </c>
      <c r="H346" s="80">
        <v>4</v>
      </c>
      <c r="I346" s="60" t="s">
        <v>44</v>
      </c>
      <c r="J346" s="60" t="s">
        <v>44</v>
      </c>
    </row>
    <row r="347" spans="1:18" ht="31.2">
      <c r="A347" s="3" cm="1">
        <f t="array" aca="1" ref="A347" ca="1">INDIRECT("A"&amp;ROW()-1)+1</f>
        <v>185</v>
      </c>
      <c r="B347" s="3">
        <v>180</v>
      </c>
      <c r="C347" s="3" t="str">
        <f ca="1">A341&amp;"==True or "&amp;A288&amp;"any['触控屏']"</f>
        <v>183==True or 161any['触控屏']</v>
      </c>
      <c r="D347" s="4" t="s">
        <v>714</v>
      </c>
      <c r="E347" s="11" t="s">
        <v>145</v>
      </c>
      <c r="F347" s="56" t="s">
        <v>125</v>
      </c>
      <c r="H347" s="80">
        <v>1</v>
      </c>
      <c r="I347" s="15" t="s">
        <v>129</v>
      </c>
      <c r="J347" s="15"/>
      <c r="K347" s="70" t="s">
        <v>715</v>
      </c>
      <c r="L347" s="44">
        <f>L343</f>
        <v>26</v>
      </c>
      <c r="M347" s="42" t="s">
        <v>346</v>
      </c>
      <c r="O347" s="16"/>
      <c r="P347" s="8"/>
      <c r="Q347" s="18"/>
      <c r="R347" s="98" t="s">
        <v>981</v>
      </c>
    </row>
    <row r="348" spans="1:18" ht="31.2">
      <c r="A348" s="3" cm="1">
        <f t="array" aca="1" ref="A348" ca="1">INDIRECT("A"&amp;ROW()-1)+1</f>
        <v>186</v>
      </c>
      <c r="B348" s="3">
        <v>181</v>
      </c>
      <c r="C348" s="3" t="str">
        <f ca="1">A341&amp;"==True"</f>
        <v>183==True</v>
      </c>
      <c r="D348" s="4" t="s">
        <v>1013</v>
      </c>
      <c r="E348" s="5" t="s">
        <v>5</v>
      </c>
      <c r="F348" s="56" t="s">
        <v>134</v>
      </c>
      <c r="G348" s="5" t="s">
        <v>1</v>
      </c>
      <c r="H348" s="80">
        <v>1</v>
      </c>
      <c r="I348" s="7" t="b">
        <v>1</v>
      </c>
      <c r="J348" s="37" t="s">
        <v>257</v>
      </c>
      <c r="L348" s="48">
        <f>L347</f>
        <v>26</v>
      </c>
      <c r="M348" s="42" t="s">
        <v>347</v>
      </c>
      <c r="N348" s="105" t="s">
        <v>1016</v>
      </c>
      <c r="R348" s="104" t="s">
        <v>1017</v>
      </c>
    </row>
    <row r="349" spans="1:18">
      <c r="A349" s="3" cm="1">
        <f t="array" aca="1" ref="A349" ca="1">INDIRECT("A"&amp;ROW()-1)</f>
        <v>186</v>
      </c>
      <c r="B349" s="3" t="s">
        <v>858</v>
      </c>
      <c r="F349" s="55" t="str">
        <f>F348</f>
        <v>FALSE</v>
      </c>
      <c r="G349" s="5" t="s">
        <v>2</v>
      </c>
      <c r="H349" s="80">
        <v>2</v>
      </c>
      <c r="I349" s="7" t="b">
        <v>0</v>
      </c>
      <c r="J349" s="52" t="s">
        <v>447</v>
      </c>
      <c r="K349" s="105" t="s">
        <v>1014</v>
      </c>
      <c r="L349" s="48"/>
      <c r="M349" s="48"/>
    </row>
    <row r="350" spans="1:18" ht="31.2">
      <c r="A350" s="3" cm="1">
        <f t="array" aca="1" ref="A350" ca="1">INDIRECT("A"&amp;ROW()-1)+1</f>
        <v>187</v>
      </c>
      <c r="B350" s="3">
        <v>182</v>
      </c>
      <c r="C350" s="3" t="str">
        <f ca="1">A348&amp;"==True"</f>
        <v>186==True</v>
      </c>
      <c r="D350" s="4" t="s">
        <v>1018</v>
      </c>
      <c r="E350" s="5" t="s">
        <v>6</v>
      </c>
      <c r="F350" s="56" t="s">
        <v>134</v>
      </c>
      <c r="G350" s="5" t="s">
        <v>94</v>
      </c>
      <c r="H350" s="80">
        <v>1</v>
      </c>
      <c r="I350" s="7" t="s">
        <v>94</v>
      </c>
      <c r="J350" s="7" t="s">
        <v>94</v>
      </c>
      <c r="K350" s="105" t="s">
        <v>1019</v>
      </c>
      <c r="L350" s="3">
        <f>L348</f>
        <v>26</v>
      </c>
      <c r="M350" s="42" t="s">
        <v>347</v>
      </c>
      <c r="R350" s="104" t="s">
        <v>1020</v>
      </c>
    </row>
    <row r="351" spans="1:18">
      <c r="A351" s="3" cm="1">
        <f t="array" aca="1" ref="A351" ca="1">INDIRECT("A"&amp;ROW()-1)</f>
        <v>187</v>
      </c>
      <c r="B351" s="3" t="s">
        <v>858</v>
      </c>
      <c r="F351" s="55" t="str">
        <f>F350</f>
        <v>FALSE</v>
      </c>
      <c r="G351" s="5" t="s">
        <v>95</v>
      </c>
      <c r="H351" s="80">
        <v>2</v>
      </c>
      <c r="I351" s="7" t="s">
        <v>95</v>
      </c>
      <c r="J351" s="7" t="s">
        <v>95</v>
      </c>
    </row>
    <row r="352" spans="1:18">
      <c r="A352" s="3" cm="1">
        <f t="array" aca="1" ref="A352" ca="1">INDIRECT("A"&amp;ROW()-1)</f>
        <v>187</v>
      </c>
      <c r="B352" s="3" t="s">
        <v>858</v>
      </c>
      <c r="F352" s="55" t="str">
        <f>F351</f>
        <v>FALSE</v>
      </c>
      <c r="G352" s="5" t="s">
        <v>96</v>
      </c>
      <c r="H352" s="80">
        <v>3</v>
      </c>
      <c r="I352" s="7" t="s">
        <v>96</v>
      </c>
      <c r="J352" s="7" t="s">
        <v>96</v>
      </c>
    </row>
    <row r="353" spans="1:18" ht="31.2">
      <c r="A353" s="3" cm="1">
        <f t="array" aca="1" ref="A353" ca="1">INDIRECT("A"&amp;ROW()-1)+1</f>
        <v>188</v>
      </c>
      <c r="B353" s="3">
        <v>183</v>
      </c>
      <c r="C353" s="3" t="str">
        <f ca="1">A348&amp;"==True"</f>
        <v>186==True</v>
      </c>
      <c r="D353" s="4" t="s">
        <v>1028</v>
      </c>
      <c r="E353" s="5" t="s">
        <v>5</v>
      </c>
      <c r="F353" s="56" t="s">
        <v>134</v>
      </c>
      <c r="G353" s="5" t="s">
        <v>1</v>
      </c>
      <c r="H353" s="80">
        <v>1</v>
      </c>
      <c r="I353" s="7" t="b">
        <v>1</v>
      </c>
      <c r="J353" s="37" t="s">
        <v>257</v>
      </c>
      <c r="L353" s="48">
        <f>L350</f>
        <v>26</v>
      </c>
      <c r="M353" s="42" t="s">
        <v>348</v>
      </c>
      <c r="N353" s="58"/>
      <c r="R353" s="104" t="s">
        <v>1029</v>
      </c>
    </row>
    <row r="354" spans="1:18">
      <c r="A354" s="3" cm="1">
        <f t="array" aca="1" ref="A354" ca="1">INDIRECT("A"&amp;ROW()-1)</f>
        <v>188</v>
      </c>
      <c r="B354" s="3" t="s">
        <v>858</v>
      </c>
      <c r="F354" s="55" t="str">
        <f>F353</f>
        <v>FALSE</v>
      </c>
      <c r="G354" s="5" t="s">
        <v>2</v>
      </c>
      <c r="H354" s="80">
        <v>2</v>
      </c>
      <c r="I354" s="7" t="b">
        <v>0</v>
      </c>
      <c r="J354" s="52" t="s">
        <v>444</v>
      </c>
      <c r="K354" s="106" t="s">
        <v>1030</v>
      </c>
      <c r="L354" s="48"/>
      <c r="M354" s="48"/>
    </row>
    <row r="355" spans="1:18" ht="31.2">
      <c r="A355" s="3" cm="1">
        <f t="array" aca="1" ref="A355" ca="1">INDIRECT("A"&amp;ROW()-1)+1</f>
        <v>189</v>
      </c>
      <c r="B355" s="3">
        <v>184</v>
      </c>
      <c r="C355" s="3" t="str">
        <f ca="1">A353&amp;"==True"</f>
        <v>188==True</v>
      </c>
      <c r="D355" s="4" t="s">
        <v>1021</v>
      </c>
      <c r="E355" s="11" t="s">
        <v>145</v>
      </c>
      <c r="F355" s="45" t="s">
        <v>125</v>
      </c>
      <c r="H355" s="80">
        <v>1</v>
      </c>
      <c r="I355" s="15" t="s">
        <v>129</v>
      </c>
      <c r="J355" s="15"/>
      <c r="K355" s="105" t="s">
        <v>1022</v>
      </c>
      <c r="L355" s="44">
        <f>L353</f>
        <v>26</v>
      </c>
      <c r="M355" s="42" t="s">
        <v>348</v>
      </c>
      <c r="O355" s="16"/>
      <c r="P355" s="8"/>
      <c r="Q355" s="18"/>
      <c r="R355" s="104" t="s">
        <v>1023</v>
      </c>
    </row>
    <row r="356" spans="1:18" ht="31.2">
      <c r="A356" s="3" cm="1">
        <f t="array" aca="1" ref="A356" ca="1">INDIRECT("A"&amp;ROW()-1)+1</f>
        <v>190</v>
      </c>
      <c r="B356" s="3">
        <v>219</v>
      </c>
      <c r="C356" s="3" t="str">
        <f ca="1">A348&amp;"==True"</f>
        <v>186==True</v>
      </c>
      <c r="D356" s="4" t="s">
        <v>1033</v>
      </c>
      <c r="E356" s="11" t="s">
        <v>145</v>
      </c>
      <c r="F356" s="20" t="b">
        <v>0</v>
      </c>
      <c r="H356" s="80">
        <v>1</v>
      </c>
      <c r="I356" s="15" t="s">
        <v>129</v>
      </c>
      <c r="J356" s="15"/>
      <c r="K356" s="105" t="s">
        <v>1034</v>
      </c>
      <c r="L356" s="44">
        <f>L348</f>
        <v>26</v>
      </c>
      <c r="M356" s="42" t="s">
        <v>347</v>
      </c>
      <c r="O356" s="16"/>
      <c r="P356" s="8"/>
      <c r="Q356" s="18"/>
      <c r="R356" s="104" t="s">
        <v>1035</v>
      </c>
    </row>
    <row r="357" spans="1:18" ht="31.2">
      <c r="A357" s="3" cm="1">
        <f t="array" aca="1" ref="A357" ca="1">INDIRECT("A"&amp;ROW()-1)+1</f>
        <v>191</v>
      </c>
      <c r="B357" s="3">
        <v>185</v>
      </c>
      <c r="C357" s="3" t="str">
        <f ca="1">A12&amp;"any['硬件']"</f>
        <v>7any['硬件']</v>
      </c>
      <c r="D357" s="4" t="s">
        <v>561</v>
      </c>
      <c r="E357" s="5" t="s">
        <v>5</v>
      </c>
      <c r="F357" s="56" t="s">
        <v>134</v>
      </c>
      <c r="G357" s="68" t="s">
        <v>567</v>
      </c>
      <c r="H357" s="80">
        <v>1</v>
      </c>
      <c r="I357" s="68" t="s">
        <v>562</v>
      </c>
      <c r="J357" s="68" t="s">
        <v>569</v>
      </c>
      <c r="K357" s="52" t="s">
        <v>448</v>
      </c>
      <c r="L357" s="48">
        <f>L330</f>
        <v>26</v>
      </c>
      <c r="M357" s="42" t="s">
        <v>347</v>
      </c>
      <c r="N357" s="70" t="s">
        <v>565</v>
      </c>
      <c r="R357" s="98" t="s">
        <v>982</v>
      </c>
    </row>
    <row r="358" spans="1:18">
      <c r="A358" s="3" cm="1">
        <f t="array" aca="1" ref="A358" ca="1">INDIRECT("A"&amp;ROW()-1)</f>
        <v>191</v>
      </c>
      <c r="B358" s="3" t="s">
        <v>858</v>
      </c>
      <c r="F358" s="56" t="s">
        <v>134</v>
      </c>
      <c r="G358" s="68" t="s">
        <v>568</v>
      </c>
      <c r="H358" s="80">
        <v>2</v>
      </c>
      <c r="I358" s="68" t="s">
        <v>563</v>
      </c>
      <c r="J358" s="68" t="s">
        <v>570</v>
      </c>
      <c r="K358" s="52" t="s">
        <v>448</v>
      </c>
      <c r="L358" s="48"/>
      <c r="M358" s="42"/>
      <c r="N358" s="70" t="s">
        <v>566</v>
      </c>
      <c r="R358" s="39"/>
    </row>
    <row r="359" spans="1:18" ht="22.2" customHeight="1">
      <c r="A359" s="3" cm="1">
        <f t="array" aca="1" ref="A359" ca="1">INDIRECT("A"&amp;ROW()-1)</f>
        <v>191</v>
      </c>
      <c r="B359" s="3" t="s">
        <v>858</v>
      </c>
      <c r="F359" s="56" t="s">
        <v>134</v>
      </c>
      <c r="G359" s="68" t="s">
        <v>443</v>
      </c>
      <c r="H359" s="80">
        <v>3</v>
      </c>
      <c r="I359" s="68" t="s">
        <v>564</v>
      </c>
      <c r="J359" s="68" t="s">
        <v>443</v>
      </c>
      <c r="K359" s="52" t="s">
        <v>448</v>
      </c>
      <c r="L359" s="48"/>
      <c r="M359" s="48"/>
    </row>
    <row r="360" spans="1:18" ht="31.2">
      <c r="A360" s="3" cm="1">
        <f t="array" aca="1" ref="A360" ca="1">INDIRECT("A"&amp;ROW()-1)+1</f>
        <v>192</v>
      </c>
      <c r="B360" s="3">
        <v>186</v>
      </c>
      <c r="C360" s="3" t="str">
        <f ca="1">A357&amp;"==供定制"</f>
        <v>191==供定制</v>
      </c>
      <c r="D360" s="4" t="s">
        <v>578</v>
      </c>
      <c r="E360" s="11" t="s">
        <v>145</v>
      </c>
      <c r="F360" s="45" t="s">
        <v>125</v>
      </c>
      <c r="H360" s="80">
        <v>1</v>
      </c>
      <c r="I360" s="15" t="s">
        <v>129</v>
      </c>
      <c r="J360" s="15"/>
      <c r="K360" s="70" t="s">
        <v>571</v>
      </c>
      <c r="L360" s="44">
        <f>L357</f>
        <v>26</v>
      </c>
      <c r="M360" s="42" t="s">
        <v>347</v>
      </c>
      <c r="O360" s="16"/>
      <c r="P360" s="8"/>
      <c r="Q360" s="18"/>
      <c r="R360" s="69" t="s">
        <v>572</v>
      </c>
    </row>
    <row r="361" spans="1:18" ht="31.2">
      <c r="A361" s="3" cm="1">
        <f t="array" aca="1" ref="A361" ca="1">INDIRECT("A"&amp;ROW()-1)+1</f>
        <v>193</v>
      </c>
      <c r="B361" s="3">
        <v>187</v>
      </c>
      <c r="C361" s="3" t="str">
        <f ca="1">A12&amp;"any['硬件']"</f>
        <v>7any['硬件']</v>
      </c>
      <c r="D361" s="4" t="s">
        <v>103</v>
      </c>
      <c r="E361" s="5" t="s">
        <v>5</v>
      </c>
      <c r="F361" s="56" t="s">
        <v>134</v>
      </c>
      <c r="G361" s="5" t="s">
        <v>1</v>
      </c>
      <c r="H361" s="80">
        <v>1</v>
      </c>
      <c r="I361" s="7" t="b">
        <v>1</v>
      </c>
      <c r="J361" s="37" t="s">
        <v>257</v>
      </c>
      <c r="L361" s="48">
        <v>31</v>
      </c>
      <c r="M361" s="42" t="s">
        <v>349</v>
      </c>
      <c r="N361" s="58" t="s">
        <v>476</v>
      </c>
      <c r="R361" s="98" t="s">
        <v>200</v>
      </c>
    </row>
    <row r="362" spans="1:18">
      <c r="A362" s="3" cm="1">
        <f t="array" aca="1" ref="A362" ca="1">INDIRECT("A"&amp;ROW()-1)</f>
        <v>193</v>
      </c>
      <c r="B362" s="3" t="s">
        <v>858</v>
      </c>
      <c r="F362" s="55" t="str">
        <f>F361</f>
        <v>FALSE</v>
      </c>
      <c r="G362" s="5" t="s">
        <v>2</v>
      </c>
      <c r="H362" s="80">
        <v>2</v>
      </c>
      <c r="I362" s="7" t="b">
        <v>0</v>
      </c>
      <c r="J362" s="52" t="s">
        <v>409</v>
      </c>
      <c r="K362" s="52" t="s">
        <v>453</v>
      </c>
      <c r="L362" s="48"/>
      <c r="M362" s="48"/>
    </row>
    <row r="363" spans="1:18" ht="31.2">
      <c r="A363" s="3" cm="1">
        <f t="array" aca="1" ref="A363" ca="1">INDIRECT("A"&amp;ROW()-1)+1</f>
        <v>194</v>
      </c>
      <c r="B363" s="3">
        <v>188</v>
      </c>
      <c r="C363" s="3" t="str">
        <f ca="1">A361&amp;"==True"</f>
        <v>193==True</v>
      </c>
      <c r="D363" s="4" t="s">
        <v>246</v>
      </c>
      <c r="E363" s="11" t="s">
        <v>145</v>
      </c>
      <c r="F363" s="45" t="s">
        <v>125</v>
      </c>
      <c r="H363" s="80">
        <v>1</v>
      </c>
      <c r="I363" s="15" t="s">
        <v>129</v>
      </c>
      <c r="J363" s="53"/>
      <c r="K363" s="38" t="s">
        <v>318</v>
      </c>
      <c r="L363" s="44">
        <f>L361</f>
        <v>31</v>
      </c>
      <c r="M363" s="42" t="s">
        <v>349</v>
      </c>
      <c r="O363" s="16"/>
      <c r="P363" s="8"/>
      <c r="Q363" s="18"/>
      <c r="R363" s="98" t="s">
        <v>983</v>
      </c>
    </row>
    <row r="364" spans="1:18" ht="31.2">
      <c r="A364" s="3" cm="1">
        <f t="array" aca="1" ref="A364" ca="1">INDIRECT("A"&amp;ROW()-1)+1</f>
        <v>195</v>
      </c>
      <c r="B364" s="3">
        <v>189</v>
      </c>
      <c r="C364" s="3" t="str">
        <f ca="1">A361&amp;"==True"</f>
        <v>193==True</v>
      </c>
      <c r="D364" s="4" t="s">
        <v>247</v>
      </c>
      <c r="E364" s="11" t="s">
        <v>145</v>
      </c>
      <c r="F364" s="45" t="s">
        <v>125</v>
      </c>
      <c r="H364" s="80">
        <v>1</v>
      </c>
      <c r="I364" s="15" t="s">
        <v>129</v>
      </c>
      <c r="J364" s="15"/>
      <c r="K364" s="38" t="s">
        <v>319</v>
      </c>
      <c r="L364" s="44">
        <f>L361</f>
        <v>31</v>
      </c>
      <c r="M364" s="42" t="s">
        <v>350</v>
      </c>
      <c r="O364" s="16"/>
      <c r="P364" s="8"/>
      <c r="Q364" s="18"/>
      <c r="R364" s="98" t="s">
        <v>984</v>
      </c>
    </row>
    <row r="365" spans="1:18" ht="31.2">
      <c r="A365" s="3" cm="1">
        <f t="array" aca="1" ref="A365" ca="1">INDIRECT("A"&amp;ROW()-1)+1</f>
        <v>196</v>
      </c>
      <c r="B365" s="3">
        <v>190</v>
      </c>
      <c r="C365" s="3" t="str">
        <f ca="1">A12&amp;"any['硬件']"</f>
        <v>7any['硬件']</v>
      </c>
      <c r="D365" s="4" t="s">
        <v>106</v>
      </c>
      <c r="E365" s="5" t="s">
        <v>5</v>
      </c>
      <c r="F365" s="56" t="s">
        <v>134</v>
      </c>
      <c r="G365" s="5" t="s">
        <v>1</v>
      </c>
      <c r="H365" s="80">
        <v>1</v>
      </c>
      <c r="I365" s="7" t="b">
        <v>1</v>
      </c>
      <c r="J365" s="52" t="s">
        <v>450</v>
      </c>
      <c r="K365" s="52" t="s">
        <v>449</v>
      </c>
      <c r="L365" s="48">
        <f>L361</f>
        <v>31</v>
      </c>
      <c r="M365" s="42" t="s">
        <v>349</v>
      </c>
      <c r="N365" s="58" t="s">
        <v>488</v>
      </c>
      <c r="R365" s="19" t="s">
        <v>197</v>
      </c>
    </row>
    <row r="366" spans="1:18">
      <c r="A366" s="3" cm="1">
        <f t="array" aca="1" ref="A366" ca="1">INDIRECT("A"&amp;ROW()-1)</f>
        <v>196</v>
      </c>
      <c r="B366" s="3" t="s">
        <v>858</v>
      </c>
      <c r="F366" s="55" t="str">
        <f>F365</f>
        <v>FALSE</v>
      </c>
      <c r="G366" s="5" t="s">
        <v>2</v>
      </c>
      <c r="H366" s="80">
        <v>2</v>
      </c>
      <c r="I366" s="7" t="b">
        <v>0</v>
      </c>
      <c r="J366" s="52" t="s">
        <v>452</v>
      </c>
      <c r="K366" s="52" t="s">
        <v>449</v>
      </c>
      <c r="L366" s="48"/>
      <c r="M366" s="48"/>
    </row>
    <row r="367" spans="1:18" ht="31.2">
      <c r="A367" s="3" cm="1">
        <f t="array" aca="1" ref="A367" ca="1">INDIRECT("A"&amp;ROW()-1)+1</f>
        <v>197</v>
      </c>
      <c r="B367" s="3">
        <v>191</v>
      </c>
      <c r="C367" s="3" t="str">
        <f ca="1">A365&amp;"==True"</f>
        <v>196==True</v>
      </c>
      <c r="D367" s="4" t="s">
        <v>244</v>
      </c>
      <c r="E367" s="11" t="s">
        <v>145</v>
      </c>
      <c r="F367" s="45" t="s">
        <v>125</v>
      </c>
      <c r="H367" s="80">
        <v>1</v>
      </c>
      <c r="I367" s="15" t="s">
        <v>129</v>
      </c>
      <c r="J367" s="15"/>
      <c r="K367" s="38" t="s">
        <v>315</v>
      </c>
      <c r="L367" s="44">
        <f>L365</f>
        <v>31</v>
      </c>
      <c r="M367" s="42" t="s">
        <v>349</v>
      </c>
      <c r="O367" s="16"/>
      <c r="P367" s="8"/>
      <c r="Q367" s="18"/>
      <c r="R367" s="98" t="s">
        <v>985</v>
      </c>
    </row>
    <row r="368" spans="1:18">
      <c r="A368" s="3" cm="1">
        <f t="array" aca="1" ref="A368" ca="1">INDIRECT("A"&amp;ROW()-1)+1</f>
        <v>198</v>
      </c>
      <c r="B368" s="3">
        <v>192</v>
      </c>
      <c r="C368" s="3" t="str">
        <f ca="1">A365&amp;"==True"</f>
        <v>196==True</v>
      </c>
      <c r="D368" s="4" t="s">
        <v>664</v>
      </c>
      <c r="E368" s="68" t="s">
        <v>6</v>
      </c>
      <c r="F368" s="56" t="s">
        <v>134</v>
      </c>
      <c r="G368" s="68" t="s">
        <v>665</v>
      </c>
      <c r="H368" s="80">
        <v>1</v>
      </c>
      <c r="I368" s="68" t="s">
        <v>665</v>
      </c>
      <c r="J368" s="68" t="s">
        <v>665</v>
      </c>
      <c r="K368" s="70" t="s">
        <v>667</v>
      </c>
      <c r="L368" s="43">
        <f>L365</f>
        <v>31</v>
      </c>
      <c r="M368" s="71" t="s">
        <v>337</v>
      </c>
      <c r="N368" s="51"/>
      <c r="R368" s="98" t="s">
        <v>986</v>
      </c>
    </row>
    <row r="369" spans="1:18">
      <c r="A369" s="3" cm="1">
        <f t="array" aca="1" ref="A369" ca="1">INDIRECT("A"&amp;ROW()-1)</f>
        <v>198</v>
      </c>
      <c r="B369" s="3" t="s">
        <v>858</v>
      </c>
      <c r="F369" s="56" t="s">
        <v>134</v>
      </c>
      <c r="G369" s="68" t="s">
        <v>666</v>
      </c>
      <c r="H369" s="80">
        <v>2</v>
      </c>
      <c r="I369" s="68" t="s">
        <v>666</v>
      </c>
      <c r="J369" s="68" t="s">
        <v>666</v>
      </c>
      <c r="K369" s="70"/>
      <c r="L369" s="43"/>
      <c r="M369" s="42"/>
      <c r="N369" s="51"/>
      <c r="R369" s="36"/>
    </row>
    <row r="370" spans="1:18" ht="31.2">
      <c r="A370" s="3" cm="1">
        <f t="array" aca="1" ref="A370" ca="1">INDIRECT("A"&amp;ROW()-1)+1</f>
        <v>199</v>
      </c>
      <c r="B370" s="3">
        <v>193</v>
      </c>
      <c r="C370" s="3" t="str">
        <f ca="1">A12&amp;"any['硬件']"</f>
        <v>7any['硬件']</v>
      </c>
      <c r="D370" s="4" t="s">
        <v>107</v>
      </c>
      <c r="E370" s="5" t="s">
        <v>5</v>
      </c>
      <c r="F370" s="56" t="s">
        <v>134</v>
      </c>
      <c r="G370" s="5" t="s">
        <v>1</v>
      </c>
      <c r="H370" s="80">
        <v>1</v>
      </c>
      <c r="I370" s="7" t="b">
        <v>1</v>
      </c>
      <c r="J370" s="52" t="s">
        <v>450</v>
      </c>
      <c r="K370" s="52" t="s">
        <v>451</v>
      </c>
      <c r="L370" s="48">
        <f>L365</f>
        <v>31</v>
      </c>
      <c r="M370" s="42" t="s">
        <v>349</v>
      </c>
      <c r="N370" s="58" t="s">
        <v>489</v>
      </c>
      <c r="R370" s="19" t="s">
        <v>198</v>
      </c>
    </row>
    <row r="371" spans="1:18">
      <c r="A371" s="3" cm="1">
        <f t="array" aca="1" ref="A371" ca="1">INDIRECT("A"&amp;ROW()-1)</f>
        <v>199</v>
      </c>
      <c r="B371" s="3" t="s">
        <v>858</v>
      </c>
      <c r="F371" s="55" t="str">
        <f>F370</f>
        <v>FALSE</v>
      </c>
      <c r="G371" s="5" t="s">
        <v>2</v>
      </c>
      <c r="H371" s="80">
        <v>2</v>
      </c>
      <c r="I371" s="7" t="b">
        <v>0</v>
      </c>
      <c r="J371" s="52" t="s">
        <v>452</v>
      </c>
      <c r="K371" s="52" t="s">
        <v>451</v>
      </c>
      <c r="L371" s="48"/>
      <c r="M371" s="48"/>
    </row>
    <row r="372" spans="1:18" ht="31.2">
      <c r="A372" s="3" cm="1">
        <f t="array" aca="1" ref="A372" ca="1">INDIRECT("A"&amp;ROW()-1)+1</f>
        <v>200</v>
      </c>
      <c r="B372" s="3">
        <v>194</v>
      </c>
      <c r="C372" s="3" t="str">
        <f ca="1">A370&amp;"==True"</f>
        <v>199==True</v>
      </c>
      <c r="D372" s="4" t="s">
        <v>245</v>
      </c>
      <c r="E372" s="11" t="s">
        <v>145</v>
      </c>
      <c r="F372" s="45" t="s">
        <v>125</v>
      </c>
      <c r="H372" s="80">
        <v>1</v>
      </c>
      <c r="I372" s="15" t="s">
        <v>129</v>
      </c>
      <c r="J372" s="15"/>
      <c r="K372" s="38" t="s">
        <v>316</v>
      </c>
      <c r="L372" s="44">
        <f>L370</f>
        <v>31</v>
      </c>
      <c r="M372" s="42" t="s">
        <v>349</v>
      </c>
      <c r="O372" s="16"/>
      <c r="P372" s="8"/>
      <c r="Q372" s="18"/>
      <c r="R372" s="19" t="s">
        <v>199</v>
      </c>
    </row>
    <row r="373" spans="1:18">
      <c r="A373" s="3" cm="1">
        <f t="array" aca="1" ref="A373" ca="1">INDIRECT("A"&amp;ROW()-1)+1</f>
        <v>201</v>
      </c>
      <c r="B373" s="3">
        <v>195</v>
      </c>
      <c r="C373" s="3" t="str">
        <f ca="1">A12&amp;"any['硬件']"</f>
        <v>7any['硬件']</v>
      </c>
      <c r="D373" s="4" t="s">
        <v>102</v>
      </c>
      <c r="E373" s="5" t="s">
        <v>5</v>
      </c>
      <c r="F373" s="56" t="s">
        <v>134</v>
      </c>
      <c r="G373" s="5" t="s">
        <v>1</v>
      </c>
      <c r="H373" s="80">
        <v>1</v>
      </c>
      <c r="I373" s="7" t="b">
        <v>1</v>
      </c>
      <c r="J373" s="52" t="s">
        <v>455</v>
      </c>
      <c r="K373" s="52" t="s">
        <v>454</v>
      </c>
      <c r="L373" s="48">
        <f>L365</f>
        <v>31</v>
      </c>
      <c r="M373" s="42" t="s">
        <v>337</v>
      </c>
      <c r="N373" s="58" t="s">
        <v>490</v>
      </c>
      <c r="R373" s="98" t="s">
        <v>987</v>
      </c>
    </row>
    <row r="374" spans="1:18">
      <c r="A374" s="3" cm="1">
        <f t="array" aca="1" ref="A374" ca="1">INDIRECT("A"&amp;ROW()-1)</f>
        <v>201</v>
      </c>
      <c r="B374" s="3" t="s">
        <v>858</v>
      </c>
      <c r="F374" s="55" t="str">
        <f>F373</f>
        <v>FALSE</v>
      </c>
      <c r="G374" s="5" t="s">
        <v>2</v>
      </c>
      <c r="H374" s="80">
        <v>2</v>
      </c>
      <c r="I374" s="7" t="b">
        <v>0</v>
      </c>
      <c r="J374" s="52" t="s">
        <v>457</v>
      </c>
      <c r="K374" s="52" t="s">
        <v>456</v>
      </c>
      <c r="L374" s="48"/>
      <c r="M374" s="48"/>
    </row>
    <row r="375" spans="1:18">
      <c r="A375" s="3" cm="1">
        <f t="array" aca="1" ref="A375" ca="1">INDIRECT("A"&amp;ROW()-1)+1</f>
        <v>202</v>
      </c>
      <c r="B375" s="3">
        <v>196</v>
      </c>
      <c r="C375" s="3" t="str">
        <f ca="1">A373&amp;"==True"</f>
        <v>201==True</v>
      </c>
      <c r="D375" s="4" t="s">
        <v>248</v>
      </c>
      <c r="E375" s="11" t="s">
        <v>145</v>
      </c>
      <c r="F375" s="45" t="s">
        <v>125</v>
      </c>
      <c r="H375" s="80">
        <v>1</v>
      </c>
      <c r="I375" s="15" t="s">
        <v>129</v>
      </c>
      <c r="J375" s="15"/>
      <c r="K375" s="38" t="s">
        <v>320</v>
      </c>
      <c r="L375" s="44">
        <f>L373</f>
        <v>31</v>
      </c>
      <c r="M375" s="42" t="s">
        <v>337</v>
      </c>
      <c r="O375" s="16"/>
      <c r="P375" s="8"/>
      <c r="Q375" s="18"/>
      <c r="R375" s="19" t="s">
        <v>201</v>
      </c>
    </row>
    <row r="376" spans="1:18" ht="31.2">
      <c r="A376" s="3" cm="1">
        <f t="array" aca="1" ref="A376" ca="1">INDIRECT("A"&amp;ROW()-1)+1</f>
        <v>203</v>
      </c>
      <c r="B376" s="3">
        <v>197</v>
      </c>
      <c r="C376" s="3" t="str">
        <f ca="1">A229&amp;"==True"</f>
        <v>128==True</v>
      </c>
      <c r="D376" s="4" t="s">
        <v>104</v>
      </c>
      <c r="E376" s="5" t="s">
        <v>5</v>
      </c>
      <c r="F376" s="56" t="s">
        <v>134</v>
      </c>
      <c r="G376" s="5" t="s">
        <v>1</v>
      </c>
      <c r="H376" s="80">
        <v>1</v>
      </c>
      <c r="I376" s="7" t="b">
        <v>1</v>
      </c>
      <c r="J376" s="37" t="s">
        <v>257</v>
      </c>
      <c r="L376" s="48">
        <f>L361</f>
        <v>31</v>
      </c>
      <c r="M376" s="42" t="s">
        <v>337</v>
      </c>
      <c r="N376" s="58" t="s">
        <v>477</v>
      </c>
      <c r="R376" s="19" t="s">
        <v>202</v>
      </c>
    </row>
    <row r="377" spans="1:18">
      <c r="A377" s="3" cm="1">
        <f t="array" aca="1" ref="A377" ca="1">INDIRECT("A"&amp;ROW()-1)</f>
        <v>203</v>
      </c>
      <c r="B377" s="3" t="s">
        <v>858</v>
      </c>
      <c r="F377" s="55" t="str">
        <f>F376</f>
        <v>FALSE</v>
      </c>
      <c r="G377" s="5" t="s">
        <v>2</v>
      </c>
      <c r="H377" s="80">
        <v>2</v>
      </c>
      <c r="I377" s="7" t="b">
        <v>0</v>
      </c>
      <c r="J377" s="52" t="s">
        <v>409</v>
      </c>
      <c r="K377" s="51" t="s">
        <v>458</v>
      </c>
      <c r="L377" s="48"/>
      <c r="M377" s="48"/>
    </row>
    <row r="378" spans="1:18">
      <c r="A378" s="3" cm="1">
        <f t="array" aca="1" ref="A378" ca="1">INDIRECT("A"&amp;ROW()-1)+1</f>
        <v>204</v>
      </c>
      <c r="B378" s="3">
        <v>198</v>
      </c>
      <c r="C378" s="3" t="str">
        <f ca="1">A376&amp;"==True"</f>
        <v>203==True</v>
      </c>
      <c r="D378" s="4" t="s">
        <v>249</v>
      </c>
      <c r="E378" s="11" t="s">
        <v>145</v>
      </c>
      <c r="F378" s="45" t="s">
        <v>125</v>
      </c>
      <c r="H378" s="80">
        <v>1</v>
      </c>
      <c r="I378" s="15" t="s">
        <v>129</v>
      </c>
      <c r="J378" s="15"/>
      <c r="K378" s="38" t="s">
        <v>321</v>
      </c>
      <c r="L378" s="44">
        <f>L376</f>
        <v>31</v>
      </c>
      <c r="M378" s="42" t="s">
        <v>337</v>
      </c>
      <c r="O378" s="16"/>
      <c r="P378" s="8"/>
      <c r="Q378" s="18"/>
      <c r="R378" s="19" t="s">
        <v>203</v>
      </c>
    </row>
    <row r="379" spans="1:18" ht="31.2">
      <c r="A379" s="3" cm="1">
        <f t="array" aca="1" ref="A379" ca="1">INDIRECT("A"&amp;ROW()-1)+1</f>
        <v>205</v>
      </c>
      <c r="B379" s="3">
        <v>199</v>
      </c>
      <c r="C379" s="27" t="str">
        <f ca="1">A12&amp;"any['硬件']"</f>
        <v>7any['硬件']</v>
      </c>
      <c r="D379" s="4" t="s">
        <v>119</v>
      </c>
      <c r="E379" s="5" t="s">
        <v>5</v>
      </c>
      <c r="F379" s="56" t="s">
        <v>134</v>
      </c>
      <c r="G379" s="5" t="s">
        <v>1</v>
      </c>
      <c r="H379" s="80">
        <v>1</v>
      </c>
      <c r="I379" s="7" t="b">
        <v>1</v>
      </c>
      <c r="J379" s="37" t="s">
        <v>257</v>
      </c>
      <c r="L379" s="48">
        <f>L361</f>
        <v>31</v>
      </c>
      <c r="M379" s="42" t="s">
        <v>337</v>
      </c>
      <c r="N379" s="51" t="s">
        <v>478</v>
      </c>
      <c r="R379" s="78" t="s">
        <v>748</v>
      </c>
    </row>
    <row r="380" spans="1:18">
      <c r="A380" s="3" cm="1">
        <f t="array" aca="1" ref="A380" ca="1">INDIRECT("A"&amp;ROW()-1)</f>
        <v>205</v>
      </c>
      <c r="B380" s="3" t="s">
        <v>858</v>
      </c>
      <c r="F380" s="55" t="str">
        <f>F379</f>
        <v>FALSE</v>
      </c>
      <c r="G380" s="5" t="s">
        <v>2</v>
      </c>
      <c r="H380" s="80">
        <v>2</v>
      </c>
      <c r="I380" s="7" t="b">
        <v>0</v>
      </c>
      <c r="J380" s="52" t="s">
        <v>409</v>
      </c>
      <c r="K380" s="52" t="s">
        <v>459</v>
      </c>
      <c r="L380" s="48"/>
      <c r="M380" s="48"/>
    </row>
    <row r="381" spans="1:18" ht="31.2">
      <c r="A381" s="3" cm="1">
        <f t="array" aca="1" ref="A381" ca="1">INDIRECT("A"&amp;ROW()-1)+1</f>
        <v>206</v>
      </c>
      <c r="B381" s="3">
        <v>200</v>
      </c>
      <c r="C381" s="3" t="str">
        <f ca="1">A379&amp;"==True"</f>
        <v>205==True</v>
      </c>
      <c r="D381" s="4" t="s">
        <v>250</v>
      </c>
      <c r="E381" s="11" t="s">
        <v>145</v>
      </c>
      <c r="F381" s="45" t="s">
        <v>125</v>
      </c>
      <c r="H381" s="80">
        <v>1</v>
      </c>
      <c r="I381" s="15" t="s">
        <v>129</v>
      </c>
      <c r="J381" s="15"/>
      <c r="K381" s="38" t="s">
        <v>322</v>
      </c>
      <c r="L381" s="44">
        <f>L379</f>
        <v>31</v>
      </c>
      <c r="M381" s="42" t="s">
        <v>337</v>
      </c>
      <c r="O381" s="16"/>
      <c r="P381" s="8"/>
      <c r="Q381" s="18"/>
      <c r="R381" s="19" t="s">
        <v>204</v>
      </c>
    </row>
    <row r="382" spans="1:18" ht="31.2">
      <c r="A382" s="3" cm="1">
        <f t="array" aca="1" ref="A382" ca="1">INDIRECT("A"&amp;ROW()-1)+1</f>
        <v>207</v>
      </c>
      <c r="B382" s="3">
        <v>201</v>
      </c>
      <c r="C382" s="3" t="str">
        <f>A2&amp;"!=代工"</f>
        <v>1!=代工</v>
      </c>
      <c r="D382" s="4" t="s">
        <v>108</v>
      </c>
      <c r="E382" s="5" t="s">
        <v>6</v>
      </c>
      <c r="F382" s="46" t="s">
        <v>134</v>
      </c>
      <c r="G382" s="5" t="s">
        <v>97</v>
      </c>
      <c r="H382" s="80">
        <v>1</v>
      </c>
      <c r="I382" s="7" t="s">
        <v>97</v>
      </c>
      <c r="J382" s="7" t="s">
        <v>97</v>
      </c>
      <c r="K382" s="38" t="s">
        <v>317</v>
      </c>
      <c r="L382" s="3">
        <v>41</v>
      </c>
      <c r="M382" s="42" t="s">
        <v>337</v>
      </c>
      <c r="N382" s="7"/>
      <c r="R382" s="98" t="s">
        <v>988</v>
      </c>
    </row>
    <row r="383" spans="1:18">
      <c r="A383" s="3" cm="1">
        <f t="array" aca="1" ref="A383" ca="1">INDIRECT("A"&amp;ROW()-1)</f>
        <v>207</v>
      </c>
      <c r="B383" s="3" t="s">
        <v>858</v>
      </c>
      <c r="F383" s="55" t="str">
        <f>F382</f>
        <v>FALSE</v>
      </c>
      <c r="G383" s="5" t="s">
        <v>98</v>
      </c>
      <c r="H383" s="80">
        <v>2</v>
      </c>
      <c r="I383" s="7" t="s">
        <v>98</v>
      </c>
      <c r="J383" s="7" t="s">
        <v>98</v>
      </c>
      <c r="N383" s="7"/>
    </row>
    <row r="384" spans="1:18">
      <c r="A384" s="3" cm="1">
        <f t="array" aca="1" ref="A384" ca="1">INDIRECT("A"&amp;ROW()-1)</f>
        <v>207</v>
      </c>
      <c r="B384" s="3" t="s">
        <v>858</v>
      </c>
      <c r="F384" s="55" t="str">
        <f>F383</f>
        <v>FALSE</v>
      </c>
      <c r="G384" s="5" t="s">
        <v>99</v>
      </c>
      <c r="H384" s="80">
        <v>3</v>
      </c>
      <c r="I384" s="7" t="s">
        <v>99</v>
      </c>
      <c r="J384" s="7" t="s">
        <v>99</v>
      </c>
      <c r="N384" s="7"/>
    </row>
    <row r="385" spans="1:18">
      <c r="A385" s="3" cm="1">
        <f t="array" aca="1" ref="A385" ca="1">INDIRECT("A"&amp;ROW()-1)</f>
        <v>207</v>
      </c>
      <c r="B385" s="3" t="s">
        <v>858</v>
      </c>
      <c r="F385" s="55" t="str">
        <f>F384</f>
        <v>FALSE</v>
      </c>
      <c r="G385" s="5" t="s">
        <v>100</v>
      </c>
      <c r="H385" s="80">
        <v>4</v>
      </c>
      <c r="I385" s="7" t="s">
        <v>100</v>
      </c>
      <c r="J385" s="7" t="s">
        <v>100</v>
      </c>
      <c r="N385" s="7"/>
    </row>
    <row r="386" spans="1:18">
      <c r="A386" s="3" cm="1">
        <f t="array" aca="1" ref="A386" ca="1">INDIRECT("A"&amp;ROW()-1)</f>
        <v>207</v>
      </c>
      <c r="B386" s="3" t="s">
        <v>858</v>
      </c>
      <c r="F386" s="55" t="str">
        <f>F385</f>
        <v>FALSE</v>
      </c>
      <c r="G386" s="5" t="s">
        <v>101</v>
      </c>
      <c r="H386" s="80">
        <v>5</v>
      </c>
      <c r="I386" s="7" t="s">
        <v>101</v>
      </c>
      <c r="J386" s="7" t="s">
        <v>101</v>
      </c>
    </row>
    <row r="387" spans="1:18" ht="31.2">
      <c r="A387" s="3" cm="1">
        <f t="array" aca="1" ref="A387" ca="1">INDIRECT("A"&amp;ROW()-1)+1</f>
        <v>208</v>
      </c>
      <c r="B387" s="3">
        <v>202</v>
      </c>
      <c r="C387" s="66" t="str">
        <f>A2&amp;"!=代工"</f>
        <v>1!=代工</v>
      </c>
      <c r="D387" s="4" t="s">
        <v>531</v>
      </c>
      <c r="E387" s="5" t="s">
        <v>5</v>
      </c>
      <c r="F387" s="56" t="s">
        <v>134</v>
      </c>
      <c r="G387" s="5" t="s">
        <v>1</v>
      </c>
      <c r="H387" s="80">
        <v>1</v>
      </c>
      <c r="I387" s="7" t="b">
        <v>1</v>
      </c>
      <c r="J387" s="65" t="s">
        <v>257</v>
      </c>
      <c r="K387" s="52"/>
      <c r="L387" s="48">
        <f>L382</f>
        <v>41</v>
      </c>
      <c r="M387" s="66" t="s">
        <v>348</v>
      </c>
      <c r="N387" s="58"/>
      <c r="R387" s="98" t="s">
        <v>989</v>
      </c>
    </row>
    <row r="388" spans="1:18">
      <c r="A388" s="3" cm="1">
        <f t="array" aca="1" ref="A388" ca="1">INDIRECT("A"&amp;ROW()-1)</f>
        <v>208</v>
      </c>
      <c r="B388" s="3" t="s">
        <v>858</v>
      </c>
      <c r="F388" s="55" t="str">
        <f>F387</f>
        <v>FALSE</v>
      </c>
      <c r="G388" s="5" t="s">
        <v>2</v>
      </c>
      <c r="H388" s="80">
        <v>2</v>
      </c>
      <c r="I388" s="7" t="b">
        <v>0</v>
      </c>
      <c r="J388" s="65" t="s">
        <v>534</v>
      </c>
      <c r="K388" s="65" t="s">
        <v>533</v>
      </c>
      <c r="L388" s="48"/>
      <c r="M388" s="48"/>
    </row>
    <row r="389" spans="1:18" ht="31.2">
      <c r="A389" s="3" cm="1">
        <f t="array" aca="1" ref="A389" ca="1">INDIRECT("A"&amp;ROW()-1)+1</f>
        <v>209</v>
      </c>
      <c r="B389" s="3">
        <v>203</v>
      </c>
      <c r="C389" s="3" t="str">
        <f ca="1">A387&amp;"==True"</f>
        <v>208==True</v>
      </c>
      <c r="D389" s="4" t="s">
        <v>530</v>
      </c>
      <c r="E389" s="11" t="s">
        <v>145</v>
      </c>
      <c r="F389" s="45" t="s">
        <v>125</v>
      </c>
      <c r="H389" s="80">
        <v>1</v>
      </c>
      <c r="I389" s="15" t="s">
        <v>129</v>
      </c>
      <c r="J389" s="15"/>
      <c r="K389" s="67" t="s">
        <v>532</v>
      </c>
      <c r="L389" s="44">
        <f>L387</f>
        <v>41</v>
      </c>
      <c r="M389" s="42" t="s">
        <v>349</v>
      </c>
      <c r="O389" s="16"/>
      <c r="P389" s="8"/>
      <c r="Q389" s="18"/>
      <c r="R389" s="64" t="s">
        <v>535</v>
      </c>
    </row>
    <row r="390" spans="1:18" ht="62.4">
      <c r="A390" s="3" cm="1">
        <f t="array" aca="1" ref="A390" ca="1">INDIRECT("A"&amp;ROW()-1)+1</f>
        <v>210</v>
      </c>
      <c r="B390" s="3">
        <v>204</v>
      </c>
      <c r="C390" s="66" t="str">
        <f>A2&amp;"!=代工"</f>
        <v>1!=代工</v>
      </c>
      <c r="D390" s="4" t="s">
        <v>582</v>
      </c>
      <c r="E390" s="5" t="s">
        <v>5</v>
      </c>
      <c r="F390" s="56" t="s">
        <v>134</v>
      </c>
      <c r="G390" s="5" t="s">
        <v>1</v>
      </c>
      <c r="H390" s="80">
        <v>1</v>
      </c>
      <c r="I390" s="7" t="b">
        <v>1</v>
      </c>
      <c r="J390" s="65" t="s">
        <v>257</v>
      </c>
      <c r="K390" s="52"/>
      <c r="L390" s="48">
        <f>L382</f>
        <v>41</v>
      </c>
      <c r="M390" s="71" t="s">
        <v>337</v>
      </c>
      <c r="N390" s="58"/>
      <c r="R390" s="83" t="s">
        <v>787</v>
      </c>
    </row>
    <row r="391" spans="1:18">
      <c r="A391" s="3" cm="1">
        <f t="array" aca="1" ref="A391" ca="1">INDIRECT("A"&amp;ROW()-1)</f>
        <v>210</v>
      </c>
      <c r="B391" s="3" t="s">
        <v>858</v>
      </c>
      <c r="F391" s="55" t="str">
        <f>F390</f>
        <v>FALSE</v>
      </c>
      <c r="G391" s="5" t="s">
        <v>2</v>
      </c>
      <c r="H391" s="80">
        <v>2</v>
      </c>
      <c r="I391" s="7" t="b">
        <v>0</v>
      </c>
      <c r="J391" s="65" t="s">
        <v>534</v>
      </c>
      <c r="K391" s="68" t="s">
        <v>585</v>
      </c>
      <c r="L391" s="48"/>
      <c r="M391" s="48"/>
    </row>
    <row r="392" spans="1:18">
      <c r="A392" s="3" cm="1">
        <f t="array" aca="1" ref="A392" ca="1">INDIRECT("A"&amp;ROW()-1)+1</f>
        <v>211</v>
      </c>
      <c r="B392" s="3">
        <v>205</v>
      </c>
      <c r="C392" s="3" t="str">
        <f ca="1">A390&amp;"==True"</f>
        <v>210==True</v>
      </c>
      <c r="D392" s="4" t="s">
        <v>583</v>
      </c>
      <c r="E392" s="11" t="s">
        <v>145</v>
      </c>
      <c r="F392" s="45" t="s">
        <v>125</v>
      </c>
      <c r="H392" s="80">
        <v>1</v>
      </c>
      <c r="I392" s="15" t="s">
        <v>129</v>
      </c>
      <c r="J392" s="15"/>
      <c r="K392" s="70" t="s">
        <v>584</v>
      </c>
      <c r="L392" s="44">
        <f>L390</f>
        <v>41</v>
      </c>
      <c r="M392" s="71" t="s">
        <v>337</v>
      </c>
      <c r="O392" s="16"/>
      <c r="P392" s="8"/>
      <c r="Q392" s="18"/>
      <c r="R392" s="69" t="s">
        <v>586</v>
      </c>
    </row>
    <row r="393" spans="1:18" ht="31.2">
      <c r="A393" s="3" cm="1">
        <f t="array" aca="1" ref="A393" ca="1">INDIRECT("A"&amp;ROW()-1)+1</f>
        <v>212</v>
      </c>
      <c r="B393" s="3">
        <v>206</v>
      </c>
      <c r="C393" s="3" t="str">
        <f ca="1">A12&amp;"any['光学','光源']"</f>
        <v>7any['光学','光源']</v>
      </c>
      <c r="D393" s="4" t="s">
        <v>629</v>
      </c>
      <c r="E393" s="5" t="s">
        <v>5</v>
      </c>
      <c r="F393" s="56" t="s">
        <v>134</v>
      </c>
      <c r="G393" s="5" t="s">
        <v>1</v>
      </c>
      <c r="H393" s="80">
        <v>1</v>
      </c>
      <c r="I393" s="7" t="b">
        <v>1</v>
      </c>
      <c r="J393" s="37" t="s">
        <v>257</v>
      </c>
      <c r="L393" s="48">
        <v>99</v>
      </c>
      <c r="M393" s="71" t="s">
        <v>632</v>
      </c>
      <c r="N393" s="61"/>
      <c r="R393" s="62" t="s">
        <v>493</v>
      </c>
    </row>
    <row r="394" spans="1:18">
      <c r="A394" s="3" cm="1">
        <f t="array" aca="1" ref="A394" ca="1">INDIRECT("A"&amp;ROW()-1)</f>
        <v>212</v>
      </c>
      <c r="B394" s="3" t="s">
        <v>858</v>
      </c>
      <c r="F394" s="55" t="str">
        <f>F393</f>
        <v>FALSE</v>
      </c>
      <c r="G394" s="5" t="s">
        <v>2</v>
      </c>
      <c r="H394" s="80">
        <v>2</v>
      </c>
      <c r="I394" s="7" t="b">
        <v>0</v>
      </c>
      <c r="J394" s="86" t="s">
        <v>534</v>
      </c>
      <c r="K394" s="70" t="s">
        <v>492</v>
      </c>
      <c r="L394" s="48"/>
      <c r="M394" s="48"/>
    </row>
    <row r="395" spans="1:18" ht="31.2">
      <c r="A395" s="3" cm="1">
        <f t="array" aca="1" ref="A395" ca="1">INDIRECT("A"&amp;ROW()-1)+1</f>
        <v>213</v>
      </c>
      <c r="B395" s="3">
        <v>207</v>
      </c>
      <c r="C395" s="3" t="str">
        <f ca="1">A393&amp;"==True"</f>
        <v>212==True</v>
      </c>
      <c r="D395" s="4" t="s">
        <v>630</v>
      </c>
      <c r="E395" s="11" t="s">
        <v>145</v>
      </c>
      <c r="F395" s="56" t="s">
        <v>125</v>
      </c>
      <c r="H395" s="80">
        <v>1</v>
      </c>
      <c r="I395" s="18" t="s">
        <v>129</v>
      </c>
      <c r="J395" s="18"/>
      <c r="K395" s="70" t="s">
        <v>631</v>
      </c>
      <c r="L395" s="47">
        <f>L393</f>
        <v>99</v>
      </c>
      <c r="M395" s="71" t="s">
        <v>632</v>
      </c>
      <c r="N395" s="58"/>
      <c r="R395" s="62" t="s">
        <v>494</v>
      </c>
    </row>
    <row r="396" spans="1:18">
      <c r="A396" s="3" cm="1">
        <f t="array" aca="1" ref="A396" ca="1">INDIRECT("A"&amp;ROW()-1)+1</f>
        <v>214</v>
      </c>
      <c r="B396" s="3">
        <v>208</v>
      </c>
      <c r="C396" s="3" t="str">
        <f ca="1">A12&amp;"any['结构']"</f>
        <v>7any['结构']</v>
      </c>
      <c r="D396" s="4" t="s">
        <v>499</v>
      </c>
      <c r="E396" s="5" t="s">
        <v>5</v>
      </c>
      <c r="F396" s="56" t="s">
        <v>134</v>
      </c>
      <c r="G396" s="5" t="s">
        <v>1</v>
      </c>
      <c r="H396" s="80">
        <v>1</v>
      </c>
      <c r="I396" s="7" t="b">
        <v>1</v>
      </c>
      <c r="J396" s="37" t="s">
        <v>257</v>
      </c>
      <c r="L396" s="48">
        <f>L393</f>
        <v>99</v>
      </c>
      <c r="M396" s="63" t="s">
        <v>341</v>
      </c>
      <c r="N396" s="61"/>
      <c r="R396" s="62" t="s">
        <v>501</v>
      </c>
    </row>
    <row r="397" spans="1:18">
      <c r="A397" s="3" cm="1">
        <f t="array" aca="1" ref="A397" ca="1">INDIRECT("A"&amp;ROW()-1)</f>
        <v>214</v>
      </c>
      <c r="B397" s="3" t="s">
        <v>858</v>
      </c>
      <c r="F397" s="55" t="str">
        <f>F396</f>
        <v>FALSE</v>
      </c>
      <c r="G397" s="5" t="s">
        <v>2</v>
      </c>
      <c r="H397" s="80">
        <v>2</v>
      </c>
      <c r="I397" s="7" t="b">
        <v>0</v>
      </c>
      <c r="J397" s="86" t="s">
        <v>534</v>
      </c>
      <c r="K397" s="61" t="s">
        <v>500</v>
      </c>
      <c r="L397" s="48"/>
      <c r="M397" s="48"/>
    </row>
    <row r="398" spans="1:18">
      <c r="A398" s="3" cm="1">
        <f t="array" aca="1" ref="A398" ca="1">INDIRECT("A"&amp;ROW()-1)+1</f>
        <v>215</v>
      </c>
      <c r="B398" s="3">
        <v>209</v>
      </c>
      <c r="C398" s="3" t="str">
        <f ca="1">A396&amp;"==True"</f>
        <v>214==True</v>
      </c>
      <c r="D398" s="4" t="s">
        <v>323</v>
      </c>
      <c r="E398" s="11" t="s">
        <v>145</v>
      </c>
      <c r="F398" s="56" t="s">
        <v>125</v>
      </c>
      <c r="H398" s="80">
        <v>1</v>
      </c>
      <c r="I398" s="18" t="s">
        <v>129</v>
      </c>
      <c r="J398" s="18"/>
      <c r="K398" s="38" t="s">
        <v>327</v>
      </c>
      <c r="L398" s="47">
        <f>L393</f>
        <v>99</v>
      </c>
      <c r="M398" s="42" t="s">
        <v>341</v>
      </c>
      <c r="N398" s="58"/>
      <c r="R398" s="62" t="s">
        <v>495</v>
      </c>
    </row>
    <row r="399" spans="1:18">
      <c r="A399" s="3" cm="1">
        <f t="array" aca="1" ref="A399" ca="1">INDIRECT("A"&amp;ROW()-1)+1</f>
        <v>216</v>
      </c>
      <c r="B399" s="3">
        <v>210</v>
      </c>
      <c r="C399" s="3" t="str">
        <f ca="1">A12&amp;"any['硬件']"</f>
        <v>7any['硬件']</v>
      </c>
      <c r="D399" s="4" t="s">
        <v>502</v>
      </c>
      <c r="E399" s="5" t="s">
        <v>5</v>
      </c>
      <c r="F399" s="56" t="s">
        <v>134</v>
      </c>
      <c r="G399" s="5" t="s">
        <v>1</v>
      </c>
      <c r="H399" s="80">
        <v>1</v>
      </c>
      <c r="I399" s="7" t="b">
        <v>1</v>
      </c>
      <c r="J399" s="37" t="s">
        <v>257</v>
      </c>
      <c r="L399" s="48">
        <f>L393</f>
        <v>99</v>
      </c>
      <c r="M399" s="63" t="s">
        <v>351</v>
      </c>
      <c r="N399" s="61"/>
      <c r="R399" s="62" t="s">
        <v>504</v>
      </c>
    </row>
    <row r="400" spans="1:18">
      <c r="A400" s="3" cm="1">
        <f t="array" aca="1" ref="A400" ca="1">INDIRECT("A"&amp;ROW()-1)</f>
        <v>216</v>
      </c>
      <c r="B400" s="3" t="s">
        <v>858</v>
      </c>
      <c r="F400" s="55" t="str">
        <f>F399</f>
        <v>FALSE</v>
      </c>
      <c r="G400" s="5" t="s">
        <v>2</v>
      </c>
      <c r="H400" s="80">
        <v>2</v>
      </c>
      <c r="I400" s="7" t="b">
        <v>0</v>
      </c>
      <c r="J400" s="86" t="s">
        <v>534</v>
      </c>
      <c r="K400" s="61" t="s">
        <v>503</v>
      </c>
      <c r="L400" s="48"/>
      <c r="M400" s="48"/>
    </row>
    <row r="401" spans="1:18">
      <c r="A401" s="3" cm="1">
        <f t="array" aca="1" ref="A401" ca="1">INDIRECT("A"&amp;ROW()-1)+1</f>
        <v>217</v>
      </c>
      <c r="B401" s="3">
        <v>211</v>
      </c>
      <c r="C401" s="3" t="str">
        <f ca="1">A399&amp;"==True"</f>
        <v>216==True</v>
      </c>
      <c r="D401" s="4" t="s">
        <v>324</v>
      </c>
      <c r="E401" s="11" t="s">
        <v>145</v>
      </c>
      <c r="F401" s="56" t="s">
        <v>125</v>
      </c>
      <c r="H401" s="80">
        <v>1</v>
      </c>
      <c r="I401" s="18" t="s">
        <v>129</v>
      </c>
      <c r="J401" s="18"/>
      <c r="K401" s="38" t="s">
        <v>328</v>
      </c>
      <c r="L401" s="47">
        <f>L393</f>
        <v>99</v>
      </c>
      <c r="M401" s="42" t="s">
        <v>351</v>
      </c>
      <c r="N401" s="58"/>
      <c r="R401" s="62" t="s">
        <v>496</v>
      </c>
    </row>
    <row r="402" spans="1:18">
      <c r="A402" s="3" cm="1">
        <f t="array" aca="1" ref="A402" ca="1">INDIRECT("A"&amp;ROW()-1)+1</f>
        <v>218</v>
      </c>
      <c r="B402" s="3">
        <v>212</v>
      </c>
      <c r="C402" s="3" t="str">
        <f ca="1">A12&amp;"any['软件']"</f>
        <v>7any['软件']</v>
      </c>
      <c r="D402" s="4" t="s">
        <v>505</v>
      </c>
      <c r="E402" s="5" t="s">
        <v>5</v>
      </c>
      <c r="F402" s="56" t="s">
        <v>134</v>
      </c>
      <c r="G402" s="5" t="s">
        <v>1</v>
      </c>
      <c r="H402" s="80">
        <v>1</v>
      </c>
      <c r="I402" s="7" t="b">
        <v>1</v>
      </c>
      <c r="J402" s="37" t="s">
        <v>257</v>
      </c>
      <c r="L402" s="48">
        <f>L393</f>
        <v>99</v>
      </c>
      <c r="M402" s="63" t="s">
        <v>352</v>
      </c>
      <c r="N402" s="61"/>
      <c r="R402" s="62" t="s">
        <v>507</v>
      </c>
    </row>
    <row r="403" spans="1:18">
      <c r="A403" s="3" cm="1">
        <f t="array" aca="1" ref="A403" ca="1">INDIRECT("A"&amp;ROW()-1)</f>
        <v>218</v>
      </c>
      <c r="B403" s="3" t="s">
        <v>858</v>
      </c>
      <c r="F403" s="55" t="str">
        <f>F402</f>
        <v>FALSE</v>
      </c>
      <c r="G403" s="5" t="s">
        <v>2</v>
      </c>
      <c r="H403" s="80">
        <v>2</v>
      </c>
      <c r="I403" s="7" t="b">
        <v>0</v>
      </c>
      <c r="J403" s="86" t="s">
        <v>534</v>
      </c>
      <c r="K403" s="61" t="s">
        <v>506</v>
      </c>
      <c r="L403" s="48"/>
      <c r="M403" s="48"/>
    </row>
    <row r="404" spans="1:18">
      <c r="A404" s="3" cm="1">
        <f t="array" aca="1" ref="A404" ca="1">INDIRECT("A"&amp;ROW()-1)+1</f>
        <v>219</v>
      </c>
      <c r="B404" s="3">
        <v>213</v>
      </c>
      <c r="C404" s="3" t="str">
        <f ca="1">A402&amp;"==True"</f>
        <v>218==True</v>
      </c>
      <c r="D404" s="4" t="s">
        <v>325</v>
      </c>
      <c r="E404" s="11" t="s">
        <v>145</v>
      </c>
      <c r="F404" s="56" t="s">
        <v>125</v>
      </c>
      <c r="H404" s="80">
        <v>1</v>
      </c>
      <c r="I404" s="18" t="s">
        <v>129</v>
      </c>
      <c r="J404" s="18"/>
      <c r="K404" s="38" t="s">
        <v>329</v>
      </c>
      <c r="L404" s="47">
        <f>L393</f>
        <v>99</v>
      </c>
      <c r="M404" s="42" t="s">
        <v>352</v>
      </c>
      <c r="N404" s="58"/>
      <c r="R404" s="62" t="s">
        <v>497</v>
      </c>
    </row>
    <row r="405" spans="1:18" ht="16.8" customHeight="1">
      <c r="A405" s="3" cm="1">
        <f t="array" aca="1" ref="A405" ca="1">INDIRECT("A"&amp;ROW()-1)+1</f>
        <v>220</v>
      </c>
      <c r="B405" s="3">
        <v>214</v>
      </c>
      <c r="C405" s="76" t="str">
        <f>A2&amp;"!=代工"</f>
        <v>1!=代工</v>
      </c>
      <c r="D405" s="4" t="s">
        <v>508</v>
      </c>
      <c r="E405" s="5" t="s">
        <v>5</v>
      </c>
      <c r="F405" s="56" t="s">
        <v>134</v>
      </c>
      <c r="G405" s="5" t="s">
        <v>1</v>
      </c>
      <c r="H405" s="80">
        <v>1</v>
      </c>
      <c r="I405" s="7" t="b">
        <v>1</v>
      </c>
      <c r="J405" s="37" t="s">
        <v>257</v>
      </c>
      <c r="L405" s="48">
        <f>L393</f>
        <v>99</v>
      </c>
      <c r="M405" s="63" t="s">
        <v>353</v>
      </c>
      <c r="N405" s="61"/>
      <c r="R405" s="62" t="s">
        <v>510</v>
      </c>
    </row>
    <row r="406" spans="1:18">
      <c r="A406" s="3" cm="1">
        <f t="array" aca="1" ref="A406" ca="1">INDIRECT("A"&amp;ROW()-1)</f>
        <v>220</v>
      </c>
      <c r="B406" s="3" t="s">
        <v>858</v>
      </c>
      <c r="F406" s="55" t="str">
        <f>F405</f>
        <v>FALSE</v>
      </c>
      <c r="G406" s="5" t="s">
        <v>2</v>
      </c>
      <c r="H406" s="80">
        <v>2</v>
      </c>
      <c r="I406" s="7" t="b">
        <v>0</v>
      </c>
      <c r="J406" s="86" t="s">
        <v>534</v>
      </c>
      <c r="K406" s="61" t="s">
        <v>509</v>
      </c>
      <c r="L406" s="48"/>
      <c r="M406" s="48"/>
    </row>
    <row r="407" spans="1:18" ht="31.2">
      <c r="A407" s="3" cm="1">
        <f t="array" aca="1" ref="A407" ca="1">INDIRECT("A"&amp;ROW()-1)+1</f>
        <v>221</v>
      </c>
      <c r="B407" s="3">
        <v>215</v>
      </c>
      <c r="C407" s="3" t="str">
        <f ca="1">A405&amp;"==True"</f>
        <v>220==True</v>
      </c>
      <c r="D407" s="4" t="s">
        <v>326</v>
      </c>
      <c r="E407" s="11" t="s">
        <v>145</v>
      </c>
      <c r="F407" s="56" t="s">
        <v>125</v>
      </c>
      <c r="H407" s="80">
        <v>1</v>
      </c>
      <c r="I407" s="18" t="s">
        <v>129</v>
      </c>
      <c r="J407" s="18"/>
      <c r="K407" s="38" t="s">
        <v>330</v>
      </c>
      <c r="L407" s="47">
        <f>L393</f>
        <v>99</v>
      </c>
      <c r="M407" s="42" t="s">
        <v>353</v>
      </c>
      <c r="N407" s="58"/>
      <c r="R407" s="62" t="s">
        <v>498</v>
      </c>
    </row>
    <row r="408" spans="1:18">
      <c r="A408" s="3" cm="1">
        <f t="array" aca="1" ref="A408" ca="1">INDIRECT("A"&amp;ROW()-1)+1</f>
        <v>222</v>
      </c>
      <c r="B408" s="3">
        <v>221</v>
      </c>
      <c r="C408" s="3" t="str">
        <f>A2&amp;"!=代工"</f>
        <v>1!=代工</v>
      </c>
      <c r="D408" s="4" t="s">
        <v>1059</v>
      </c>
      <c r="E408" s="11" t="s">
        <v>145</v>
      </c>
      <c r="F408" s="56" t="s">
        <v>125</v>
      </c>
      <c r="H408" s="80">
        <v>1</v>
      </c>
      <c r="I408" s="18" t="s">
        <v>129</v>
      </c>
      <c r="J408" s="18"/>
      <c r="K408" s="121" t="s">
        <v>1061</v>
      </c>
      <c r="L408" s="47">
        <f>L393</f>
        <v>99</v>
      </c>
      <c r="M408" s="120" t="s">
        <v>1060</v>
      </c>
      <c r="N408" s="127" t="s">
        <v>1070</v>
      </c>
      <c r="R408" s="128" t="s">
        <v>1071</v>
      </c>
    </row>
  </sheetData>
  <phoneticPr fontId="54" type="noConversion"/>
  <conditionalFormatting sqref="A1:AG1048576">
    <cfRule type="expression" dxfId="4" priority="4">
      <formula>MOD(INDIRECT("A"&amp;ROW()),2)=1</formula>
    </cfRule>
    <cfRule type="expression" dxfId="3" priority="5">
      <formula>MOD(INDIRECT("A"&amp;ROW()),2)=0</formula>
    </cfRule>
  </conditionalFormatting>
  <conditionalFormatting sqref="F1:F1048576">
    <cfRule type="expression" dxfId="2" priority="1">
      <formula>AND(INDIRECT("F"&amp;ROW())="TRUE",INDIRECT("I"&amp;ROW())="None")</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C5BBD031-16C9-46E1-AD94-6E8479DDF671}">
            <xm:f>NOT(ISERROR(SEARCH(FALSE,F1)))</xm:f>
            <xm:f>FALSE</xm:f>
            <x14:dxf>
              <font>
                <color rgb="FFFF0000"/>
              </font>
              <numFmt numFmtId="176" formatCode="0.00_ "/>
            </x14:dxf>
          </x14:cfRule>
          <x14:cfRule type="containsText" priority="3" operator="containsText" id="{1C769D4E-0532-47D4-9C54-C5FA534B67AC}">
            <xm:f>NOT(ISERROR(SEARCH(TRUE,F1)))</xm:f>
            <xm:f>TRUE</xm:f>
            <x14:dxf>
              <font>
                <color rgb="FF00B050"/>
              </font>
              <numFmt numFmtId="176" formatCode="0.00_ "/>
            </x14:dxf>
          </x14:cfRule>
          <xm:sqref>F1:F1048576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48B5-751E-4509-B1D8-FDB681154790}">
  <sheetPr codeName="Sheet2"/>
  <dimension ref="A1:B2"/>
  <sheetViews>
    <sheetView workbookViewId="0">
      <selection activeCell="J12" sqref="J12"/>
    </sheetView>
  </sheetViews>
  <sheetFormatPr defaultRowHeight="13.8"/>
  <cols>
    <col min="1" max="1" width="9.77734375" style="1" customWidth="1"/>
    <col min="2" max="2" width="51.5546875" style="1" customWidth="1"/>
    <col min="3" max="3" width="10.6640625" style="1" customWidth="1"/>
    <col min="4" max="4" width="18.109375" style="1" customWidth="1"/>
    <col min="5" max="16384" width="8.88671875" style="1"/>
  </cols>
  <sheetData>
    <row r="1" spans="1:2">
      <c r="A1" s="1" t="s">
        <v>252</v>
      </c>
      <c r="B1" s="1" t="s">
        <v>253</v>
      </c>
    </row>
    <row r="2" spans="1:2">
      <c r="A2" s="1">
        <f>MAX(问题!B:B)</f>
        <v>222</v>
      </c>
      <c r="B2" s="1">
        <v>222</v>
      </c>
    </row>
  </sheetData>
  <phoneticPr fontId="5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问题</vt:lpstr>
      <vt:lpstr>节点ID最大值记录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Gavin Lin</cp:lastModifiedBy>
  <dcterms:created xsi:type="dcterms:W3CDTF">2015-06-05T18:19:34Z</dcterms:created>
  <dcterms:modified xsi:type="dcterms:W3CDTF">2026-10-13T03:43:41Z</dcterms:modified>
</cp:coreProperties>
</file>