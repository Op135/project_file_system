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09E63579-08F5-4961-9C24-B4339E88DDE6}"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C164" i="1" s="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C130" i="1"/>
  <c r="A98" i="1" a="1"/>
  <c r="A98" i="1" l="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<sst xmlns="http://schemas.openxmlformats.org/spreadsheetml/2006/main" count="2553" uniqueCount="1051">
  <si>
    <t>选项</t>
    <phoneticPr fontId="40" type="noConversion"/>
  </si>
  <si>
    <t>是</t>
    <phoneticPr fontId="40" type="noConversion"/>
  </si>
  <si>
    <t>否</t>
    <phoneticPr fontId="40" type="noConversion"/>
  </si>
  <si>
    <t>引导描述</t>
    <phoneticPr fontId="40" type="noConversion"/>
  </si>
  <si>
    <t>答案类型</t>
    <phoneticPr fontId="40" type="noConversion"/>
  </si>
  <si>
    <t>单选</t>
    <phoneticPr fontId="40" type="noConversion"/>
  </si>
  <si>
    <t>多选</t>
    <phoneticPr fontId="40" type="noConversion"/>
  </si>
  <si>
    <t>产品形态属于整机还是模组</t>
    <phoneticPr fontId="40" type="noConversion"/>
  </si>
  <si>
    <t>整机</t>
    <phoneticPr fontId="40" type="noConversion"/>
  </si>
  <si>
    <t>模组</t>
    <phoneticPr fontId="40" type="noConversion"/>
  </si>
  <si>
    <t>该产品将包含哪些功能组成</t>
    <phoneticPr fontId="40" type="noConversion"/>
  </si>
  <si>
    <t>机械结构</t>
    <phoneticPr fontId="40" type="noConversion"/>
  </si>
  <si>
    <t>软件控制</t>
    <phoneticPr fontId="40" type="noConversion"/>
  </si>
  <si>
    <t>产品电源输入类型</t>
    <phoneticPr fontId="40" type="noConversion"/>
  </si>
  <si>
    <t>直流</t>
    <phoneticPr fontId="40" type="noConversion"/>
  </si>
  <si>
    <t>交流</t>
    <phoneticPr fontId="40" type="noConversion"/>
  </si>
  <si>
    <t>输出标签</t>
    <phoneticPr fontId="40" type="noConversion"/>
  </si>
  <si>
    <t>请选择产品控制模式</t>
    <phoneticPr fontId="40" type="noConversion"/>
  </si>
  <si>
    <t>TTL</t>
  </si>
  <si>
    <t>TTL</t>
    <phoneticPr fontId="40" type="noConversion"/>
  </si>
  <si>
    <t>PWM</t>
    <phoneticPr fontId="40" type="noConversion"/>
  </si>
  <si>
    <t>RS232</t>
  </si>
  <si>
    <t>RS232</t>
    <phoneticPr fontId="40" type="noConversion"/>
  </si>
  <si>
    <t>RS422</t>
  </si>
  <si>
    <t>RS422</t>
    <phoneticPr fontId="40" type="noConversion"/>
  </si>
  <si>
    <t>RS485</t>
  </si>
  <si>
    <t>RS485</t>
    <phoneticPr fontId="40" type="noConversion"/>
  </si>
  <si>
    <t>IIC</t>
  </si>
  <si>
    <t>IIC</t>
    <phoneticPr fontId="40" type="noConversion"/>
  </si>
  <si>
    <t>SPI</t>
  </si>
  <si>
    <t>SPI</t>
    <phoneticPr fontId="40" type="noConversion"/>
  </si>
  <si>
    <t>USB</t>
  </si>
  <si>
    <t>USB</t>
    <phoneticPr fontId="40" type="noConversion"/>
  </si>
  <si>
    <t>CAN</t>
  </si>
  <si>
    <t>CAN</t>
    <phoneticPr fontId="40" type="noConversion"/>
  </si>
  <si>
    <t>LAN</t>
  </si>
  <si>
    <t>LAN</t>
    <phoneticPr fontId="40" type="noConversion"/>
  </si>
  <si>
    <t>按键开关</t>
  </si>
  <si>
    <t>按键开关</t>
    <phoneticPr fontId="40" type="noConversion"/>
  </si>
  <si>
    <t>电位器</t>
  </si>
  <si>
    <t>电位器</t>
    <phoneticPr fontId="40" type="noConversion"/>
  </si>
  <si>
    <t>编码器</t>
  </si>
  <si>
    <t>编码器</t>
    <phoneticPr fontId="40" type="noConversion"/>
  </si>
  <si>
    <t>触控屏</t>
  </si>
  <si>
    <t>触控屏</t>
    <phoneticPr fontId="40" type="noConversion"/>
  </si>
  <si>
    <t>踏板</t>
  </si>
  <si>
    <t>踏板</t>
    <phoneticPr fontId="40" type="noConversion"/>
  </si>
  <si>
    <t>导光束→产品</t>
    <phoneticPr fontId="40" type="noConversion"/>
  </si>
  <si>
    <t>产品→导光束→产品</t>
    <phoneticPr fontId="40" type="noConversion"/>
  </si>
  <si>
    <t>产品→导光束</t>
    <phoneticPr fontId="40" type="noConversion"/>
  </si>
  <si>
    <t>激活条件</t>
    <phoneticPr fontId="40" type="noConversion"/>
  </si>
  <si>
    <t>选项输出值</t>
    <phoneticPr fontId="40" type="noConversion"/>
  </si>
  <si>
    <t>硬件</t>
    <phoneticPr fontId="40" type="noConversion"/>
  </si>
  <si>
    <t>软件</t>
    <phoneticPr fontId="40" type="noConversion"/>
  </si>
  <si>
    <t>结构</t>
    <phoneticPr fontId="40" type="noConversion"/>
  </si>
  <si>
    <t>光学</t>
    <phoneticPr fontId="40" type="noConversion"/>
  </si>
  <si>
    <t>直流输入</t>
    <phoneticPr fontId="40" type="noConversion"/>
  </si>
  <si>
    <t>交流输入</t>
    <phoneticPr fontId="40" type="noConversion"/>
  </si>
  <si>
    <t>分拆同箱</t>
    <phoneticPr fontId="40" type="noConversion"/>
  </si>
  <si>
    <t>分箱包装</t>
    <phoneticPr fontId="40" type="noConversion"/>
  </si>
  <si>
    <t>一体包装</t>
    <phoneticPr fontId="40" type="noConversion"/>
  </si>
  <si>
    <t>产品是否需要输出白光</t>
    <phoneticPr fontId="40" type="noConversion"/>
  </si>
  <si>
    <t>相关色温CCT</t>
    <phoneticPr fontId="40" type="noConversion"/>
  </si>
  <si>
    <t>光通量</t>
    <phoneticPr fontId="40" type="noConversion"/>
  </si>
  <si>
    <t>光功率</t>
    <phoneticPr fontId="40" type="noConversion"/>
  </si>
  <si>
    <t>CRI显指Ra</t>
    <phoneticPr fontId="40" type="noConversion"/>
  </si>
  <si>
    <t>CRI显指R9</t>
    <phoneticPr fontId="40" type="noConversion"/>
  </si>
  <si>
    <t>CCT</t>
    <phoneticPr fontId="40" type="noConversion"/>
  </si>
  <si>
    <t>Ra</t>
    <phoneticPr fontId="40" type="noConversion"/>
  </si>
  <si>
    <t>R9</t>
    <phoneticPr fontId="40" type="noConversion"/>
  </si>
  <si>
    <t>色坐标CIExy</t>
    <phoneticPr fontId="40" type="noConversion"/>
  </si>
  <si>
    <t>CIExy</t>
    <phoneticPr fontId="40" type="noConversion"/>
  </si>
  <si>
    <t>产品是否需要输出单色光</t>
    <phoneticPr fontId="40" type="noConversion"/>
  </si>
  <si>
    <t>白光</t>
    <phoneticPr fontId="40" type="noConversion"/>
  </si>
  <si>
    <t>单色光</t>
    <phoneticPr fontId="40" type="noConversion"/>
  </si>
  <si>
    <t>下列哪些单色光参数客户进行限制</t>
    <phoneticPr fontId="40" type="noConversion"/>
  </si>
  <si>
    <t>峰值波长</t>
    <phoneticPr fontId="40" type="noConversion"/>
  </si>
  <si>
    <t>主波长</t>
    <phoneticPr fontId="40" type="noConversion"/>
  </si>
  <si>
    <t>半峰全宽</t>
    <phoneticPr fontId="40" type="noConversion"/>
  </si>
  <si>
    <t>主波长（可见光范围适用）</t>
    <phoneticPr fontId="40" type="noConversion"/>
  </si>
  <si>
    <t>红绿辐通量比</t>
    <phoneticPr fontId="40" type="noConversion"/>
  </si>
  <si>
    <t>蓝绿辐通量比</t>
    <phoneticPr fontId="40" type="noConversion"/>
  </si>
  <si>
    <t>红外截止性能</t>
    <phoneticPr fontId="40" type="noConversion"/>
  </si>
  <si>
    <t>光照均匀性</t>
    <phoneticPr fontId="40" type="noConversion"/>
  </si>
  <si>
    <t>照度超限点</t>
    <phoneticPr fontId="40" type="noConversion"/>
  </si>
  <si>
    <t>照度</t>
    <phoneticPr fontId="40" type="noConversion"/>
  </si>
  <si>
    <t>辐照度</t>
    <phoneticPr fontId="40" type="noConversion"/>
  </si>
  <si>
    <t>光斑尺寸</t>
    <phoneticPr fontId="40" type="noConversion"/>
  </si>
  <si>
    <t>光强</t>
    <phoneticPr fontId="40" type="noConversion"/>
  </si>
  <si>
    <t>光束全角</t>
    <phoneticPr fontId="40" type="noConversion"/>
  </si>
  <si>
    <t>视场全角</t>
    <phoneticPr fontId="40" type="noConversion"/>
  </si>
  <si>
    <t>辐射强度</t>
    <phoneticPr fontId="40" type="noConversion"/>
  </si>
  <si>
    <t>钥匙开关</t>
    <phoneticPr fontId="40" type="noConversion"/>
  </si>
  <si>
    <t>急停开关</t>
    <phoneticPr fontId="40" type="noConversion"/>
  </si>
  <si>
    <t>以下哪些显示类配件需要随货提供</t>
    <phoneticPr fontId="40" type="noConversion"/>
  </si>
  <si>
    <t>LED指示灯</t>
    <phoneticPr fontId="40" type="noConversion"/>
  </si>
  <si>
    <t>数码管</t>
    <phoneticPr fontId="40" type="noConversion"/>
  </si>
  <si>
    <t>显示屏</t>
    <phoneticPr fontId="40" type="noConversion"/>
  </si>
  <si>
    <t>EMC</t>
    <phoneticPr fontId="40" type="noConversion"/>
  </si>
  <si>
    <t>RoHS</t>
    <phoneticPr fontId="40" type="noConversion"/>
  </si>
  <si>
    <t>激光安全</t>
    <phoneticPr fontId="40" type="noConversion"/>
  </si>
  <si>
    <t>光生物安全</t>
    <phoneticPr fontId="40" type="noConversion"/>
  </si>
  <si>
    <t>不要求</t>
    <phoneticPr fontId="40" type="noConversion"/>
  </si>
  <si>
    <t>是否要求产品具备频闪功能</t>
    <phoneticPr fontId="40" type="noConversion"/>
  </si>
  <si>
    <t>是否指定产品调光范围或步距</t>
    <phoneticPr fontId="40" type="noConversion"/>
  </si>
  <si>
    <t>是否指定产品调速风扇的工作逻辑</t>
    <phoneticPr fontId="40" type="noConversion"/>
  </si>
  <si>
    <t>是否指定产品必须使用调速风扇</t>
    <phoneticPr fontId="40" type="noConversion"/>
  </si>
  <si>
    <t>是否要求产品具备定期校正功能</t>
    <phoneticPr fontId="40" type="noConversion"/>
  </si>
  <si>
    <t>是否要求产品具备闭环反馈控制功能</t>
    <phoneticPr fontId="40" type="noConversion"/>
  </si>
  <si>
    <t>以下哪些认证/测试客户要求提供</t>
    <phoneticPr fontId="40" type="noConversion"/>
  </si>
  <si>
    <t>是否限制驱动控制板外形尺寸与安装孔位</t>
    <phoneticPr fontId="40" type="noConversion"/>
  </si>
  <si>
    <t>是否限制产品重量</t>
    <phoneticPr fontId="40" type="noConversion"/>
  </si>
  <si>
    <t>是否指定产品外观颜色</t>
    <phoneticPr fontId="40" type="noConversion"/>
  </si>
  <si>
    <t>是否限制产品出线位置</t>
    <phoneticPr fontId="40" type="noConversion"/>
  </si>
  <si>
    <t>是否限制产品外形尺寸或安装孔位</t>
    <phoneticPr fontId="40" type="noConversion"/>
  </si>
  <si>
    <t>是否限定产品外表面或器件的温升/温度</t>
    <phoneticPr fontId="40" type="noConversion"/>
  </si>
  <si>
    <t>是否限定产品工作时的噪声</t>
    <phoneticPr fontId="40" type="noConversion"/>
  </si>
  <si>
    <t>是否限定产品工作环境相对湿度</t>
    <phoneticPr fontId="40" type="noConversion"/>
  </si>
  <si>
    <t>是否限定产品工作环境温度</t>
    <phoneticPr fontId="40" type="noConversion"/>
  </si>
  <si>
    <t>是否指定转接座拉力测试合格标准</t>
    <phoneticPr fontId="40" type="noConversion"/>
  </si>
  <si>
    <t>是否指定产品超温报警温度与保护逻辑</t>
    <phoneticPr fontId="40" type="noConversion"/>
  </si>
  <si>
    <t>光斑均匀性</t>
    <phoneticPr fontId="40" type="noConversion"/>
  </si>
  <si>
    <t>下列哪些内窥镜冷光源特有光参数客户进行限制</t>
    <phoneticPr fontId="40" type="noConversion"/>
  </si>
  <si>
    <t>产品需要多少个单色光输出</t>
    <phoneticPr fontId="40" type="noConversion"/>
  </si>
  <si>
    <t>需求项提示</t>
    <phoneticPr fontId="40" type="noConversion"/>
  </si>
  <si>
    <t>输入是否要求范围</t>
    <phoneticPr fontId="40" type="noConversion"/>
  </si>
  <si>
    <t>TRUE</t>
    <phoneticPr fontId="40" type="noConversion"/>
  </si>
  <si>
    <t>输入项名称依据</t>
    <phoneticPr fontId="40" type="noConversion"/>
  </si>
  <si>
    <t>输入项数量依据</t>
    <phoneticPr fontId="40" type="noConversion"/>
  </si>
  <si>
    <t>正整数</t>
    <phoneticPr fontId="40" type="noConversion"/>
  </si>
  <si>
    <t>字典</t>
    <phoneticPr fontId="40" type="noConversion"/>
  </si>
  <si>
    <t>机械悬臂检测</t>
    <phoneticPr fontId="40" type="noConversion"/>
  </si>
  <si>
    <t>接近开关检测</t>
    <phoneticPr fontId="40" type="noConversion"/>
  </si>
  <si>
    <t>LED指示灯</t>
  </si>
  <si>
    <t>数码管</t>
  </si>
  <si>
    <t>FALSE</t>
    <phoneticPr fontId="40" type="noConversion"/>
  </si>
  <si>
    <t>产品要求哪些状态显示方式</t>
    <phoneticPr fontId="40" type="noConversion"/>
  </si>
  <si>
    <t>供货是否包含显示类配件</t>
    <phoneticPr fontId="40" type="noConversion"/>
  </si>
  <si>
    <t>是否指定显示类配件的选型规格参数</t>
    <phoneticPr fontId="40" type="noConversion"/>
  </si>
  <si>
    <t>请选择直流输入电压</t>
    <phoneticPr fontId="40" type="noConversion"/>
  </si>
  <si>
    <t>DC12V</t>
    <phoneticPr fontId="40" type="noConversion"/>
  </si>
  <si>
    <t>DC24V</t>
    <phoneticPr fontId="40" type="noConversion"/>
  </si>
  <si>
    <t>AC90~264V</t>
    <phoneticPr fontId="40" type="noConversion"/>
  </si>
  <si>
    <t>90~264V</t>
    <phoneticPr fontId="40" type="noConversion"/>
  </si>
  <si>
    <t>DC36V</t>
    <phoneticPr fontId="40" type="noConversion"/>
  </si>
  <si>
    <t>DC48V</t>
    <phoneticPr fontId="40" type="noConversion"/>
  </si>
  <si>
    <t>客户成像端是否有摄像系统参与</t>
    <phoneticPr fontId="40" type="noConversion"/>
  </si>
  <si>
    <t>单行文本</t>
  </si>
  <si>
    <t>多行文本</t>
    <phoneticPr fontId="40" type="noConversion"/>
  </si>
  <si>
    <t>单行文本</t>
    <phoneticPr fontId="40" type="noConversion"/>
  </si>
  <si>
    <t>正负</t>
    <phoneticPr fontId="40" type="noConversion"/>
  </si>
  <si>
    <t>下限</t>
    <phoneticPr fontId="40" type="noConversion"/>
  </si>
  <si>
    <t>范围</t>
    <phoneticPr fontId="40" type="noConversion"/>
  </si>
  <si>
    <t>上限</t>
    <phoneticPr fontId="40" type="noConversion"/>
  </si>
  <si>
    <t>产品是作为局部模组集成到客户产品上，还是以成品机箱形式供用户直接使用？</t>
    <phoneticPr fontId="40" type="noConversion"/>
  </si>
  <si>
    <t>DC</t>
    <phoneticPr fontId="40" type="noConversion"/>
  </si>
  <si>
    <t>CDC</t>
    <phoneticPr fontId="40" type="noConversion"/>
  </si>
  <si>
    <t>CD</t>
    <phoneticPr fontId="40" type="noConversion"/>
  </si>
  <si>
    <t>导光束→产品→导光束</t>
    <phoneticPr fontId="40" type="noConversion"/>
  </si>
  <si>
    <t>产品→导光束→产品→导光束</t>
    <phoneticPr fontId="40" type="noConversion"/>
  </si>
  <si>
    <t>DCD</t>
    <phoneticPr fontId="40" type="noConversion"/>
  </si>
  <si>
    <t>CDCD</t>
    <phoneticPr fontId="40" type="noConversion"/>
  </si>
  <si>
    <t>文件引用配置</t>
    <phoneticPr fontId="40" type="noConversion"/>
  </si>
  <si>
    <t>我司默认的拉力合格标准为：11~15N，如果客户需要指定合格标准，请选“是”。</t>
    <phoneticPr fontId="40" type="noConversion"/>
  </si>
  <si>
    <t>普通无检测</t>
    <phoneticPr fontId="40" type="noConversion"/>
  </si>
  <si>
    <t>有特殊逻辑</t>
    <phoneticPr fontId="40" type="noConversion"/>
  </si>
  <si>
    <t>导光束插拔影响所有光源</t>
    <phoneticPr fontId="40" type="noConversion"/>
  </si>
  <si>
    <t>产品需要多少个单色光输出。</t>
    <phoneticPr fontId="40" type="noConversion"/>
  </si>
  <si>
    <t>产品是否需要输出白光，不管是荧光白光，还是RGB合白光，均属于白光。</t>
    <phoneticPr fontId="40" type="noConversion"/>
  </si>
  <si>
    <t>亮度</t>
    <phoneticPr fontId="40" type="noConversion"/>
  </si>
  <si>
    <t>多行文本</t>
    <phoneticPr fontId="40" type="noConversion"/>
  </si>
  <si>
    <t>请仔细询问下列光参数里，哪些是客户关注并在入厂检时会检测的。</t>
    <phoneticPr fontId="40" type="noConversion"/>
  </si>
  <si>
    <t>请仔细询问下列YY1081-2011标准特有光参数，哪些是客户关注并在入厂检时会检测的。</t>
    <phoneticPr fontId="40" type="noConversion"/>
  </si>
  <si>
    <t>多选</t>
    <phoneticPr fontId="40" type="noConversion"/>
  </si>
  <si>
    <t>FALSE</t>
    <phoneticPr fontId="40" type="noConversion"/>
  </si>
  <si>
    <t>光通量</t>
    <phoneticPr fontId="40" type="noConversion"/>
  </si>
  <si>
    <t>相对色温CCT</t>
    <phoneticPr fontId="40" type="noConversion"/>
  </si>
  <si>
    <t>CRI显指Ra</t>
    <phoneticPr fontId="40" type="noConversion"/>
  </si>
  <si>
    <t>50%光通量</t>
    <phoneticPr fontId="40" type="noConversion"/>
  </si>
  <si>
    <t>50%CCT</t>
    <phoneticPr fontId="40" type="noConversion"/>
  </si>
  <si>
    <t>50%Ra</t>
    <phoneticPr fontId="40" type="noConversion"/>
  </si>
  <si>
    <t>50%红绿比</t>
    <phoneticPr fontId="40" type="noConversion"/>
  </si>
  <si>
    <t>50%蓝绿比</t>
    <phoneticPr fontId="40" type="noConversion"/>
  </si>
  <si>
    <t>是否限定产品IP防护等级</t>
    <phoneticPr fontId="40" type="noConversion"/>
  </si>
  <si>
    <t>是否限制产品出光口位置</t>
    <phoneticPr fontId="40" type="noConversion"/>
  </si>
  <si>
    <t>请说明指定的外观颜色，颜色需客户提供色号或色样，并限定色差范围。</t>
    <phoneticPr fontId="40" type="noConversion"/>
  </si>
  <si>
    <t>是否指定产品表面工艺</t>
    <phoneticPr fontId="40" type="noConversion"/>
  </si>
  <si>
    <t>是否指定产品表面处理工艺，特别是要求表面导电氧化。</t>
    <phoneticPr fontId="40" type="noConversion"/>
  </si>
  <si>
    <t>是否指定产品使用的风扇类型、规格、数量、线长等规格参数?</t>
    <phoneticPr fontId="40" type="noConversion"/>
  </si>
  <si>
    <t>是否限定产品散热器类型与尺寸</t>
    <phoneticPr fontId="40" type="noConversion"/>
  </si>
  <si>
    <t>填写客户指定的风扇规格要求、数量等。</t>
    <phoneticPr fontId="40" type="noConversion"/>
  </si>
  <si>
    <t>填写客户指定的散热器类别与尺寸要求、数量等。</t>
    <phoneticPr fontId="40" type="noConversion"/>
  </si>
  <si>
    <t>选择产品电源输入类型，模组一般用直流，成品机箱一般用交流。</t>
    <phoneticPr fontId="40" type="noConversion"/>
  </si>
  <si>
    <t>选择直流输入电压，这个需要跟客户配合确认。</t>
    <phoneticPr fontId="40" type="noConversion"/>
  </si>
  <si>
    <t>请确认交流输入电压</t>
    <phoneticPr fontId="40" type="noConversion"/>
  </si>
  <si>
    <t>90~264V宽电压范围基本可以覆各国要求</t>
    <phoneticPr fontId="40" type="noConversion"/>
  </si>
  <si>
    <t>是否限制产品整体功耗</t>
    <phoneticPr fontId="40" type="noConversion"/>
  </si>
  <si>
    <t>填写具体接口规格要求。</t>
    <phoneticPr fontId="40" type="noConversion"/>
  </si>
  <si>
    <t>选择产品控制模式。</t>
    <phoneticPr fontId="40" type="noConversion"/>
  </si>
  <si>
    <t>是否指定供货的控制操作类配件的具体规格型号。</t>
    <phoneticPr fontId="40" type="noConversion"/>
  </si>
  <si>
    <t>填写具体规格型号要求，必要时附上配件图纸或规格书。</t>
    <phoneticPr fontId="40" type="noConversion"/>
  </si>
  <si>
    <t>是否要求产品使用某些器件来显示功能状态，例如：指示灯、显示屏等等。</t>
    <phoneticPr fontId="40" type="noConversion"/>
  </si>
  <si>
    <t>选择用于产品功能状态显示的配件</t>
    <phoneticPr fontId="40" type="noConversion"/>
  </si>
  <si>
    <t>选择批量供货时配套的显示类配件。</t>
    <phoneticPr fontId="40" type="noConversion"/>
  </si>
  <si>
    <t>是否指定配套的显示类配件的具体规格型号。</t>
    <phoneticPr fontId="40" type="noConversion"/>
  </si>
  <si>
    <t>详细列明指定的显示类配件规格信息，必要时提供配件规格书。</t>
    <phoneticPr fontId="40" type="noConversion"/>
  </si>
  <si>
    <t>是否要求产品具备定期校正光参数的功能。</t>
    <phoneticPr fontId="40" type="noConversion"/>
  </si>
  <si>
    <t>是否要求产品具备使用传感器实现闭环反馈控制的功能。</t>
    <phoneticPr fontId="40" type="noConversion"/>
  </si>
  <si>
    <t>填写具体闭环反馈控制功能逻辑要求。</t>
    <phoneticPr fontId="40" type="noConversion"/>
  </si>
  <si>
    <t>是否指定产品调光范围与调光步距。</t>
    <phoneticPr fontId="40" type="noConversion"/>
  </si>
  <si>
    <t>填写具体频闪/脉冲输出的技术要求。</t>
    <phoneticPr fontId="40" type="noConversion"/>
  </si>
  <si>
    <t>是否指定调速风扇的工作逻辑，即调速逻辑？</t>
    <phoneticPr fontId="40" type="noConversion"/>
  </si>
  <si>
    <t>填写具体调速风扇的调速逻辑。</t>
    <phoneticPr fontId="40" type="noConversion"/>
  </si>
  <si>
    <t>填写详细的超温报警保护温度与保护逻辑。</t>
    <phoneticPr fontId="40" type="noConversion"/>
  </si>
  <si>
    <t>转接座材料及表面工艺要求</t>
    <phoneticPr fontId="40" type="noConversion"/>
  </si>
  <si>
    <t>转接座形状尺寸要求</t>
    <phoneticPr fontId="40" type="noConversion"/>
  </si>
  <si>
    <t>客户要求的转接座拉力测试合格标准</t>
    <phoneticPr fontId="40" type="noConversion"/>
  </si>
  <si>
    <t>峰值波长要求</t>
    <phoneticPr fontId="40" type="noConversion"/>
  </si>
  <si>
    <t>主波长要求</t>
    <phoneticPr fontId="40" type="noConversion"/>
  </si>
  <si>
    <t>半峰全宽要求</t>
    <phoneticPr fontId="40" type="noConversion"/>
  </si>
  <si>
    <t>光通量要求</t>
    <phoneticPr fontId="40" type="noConversion"/>
  </si>
  <si>
    <t>光功率要求</t>
    <phoneticPr fontId="40" type="noConversion"/>
  </si>
  <si>
    <t>照度要求</t>
    <phoneticPr fontId="40" type="noConversion"/>
  </si>
  <si>
    <t>辐照度要求</t>
    <phoneticPr fontId="40" type="noConversion"/>
  </si>
  <si>
    <t>光斑尺寸要求</t>
    <phoneticPr fontId="40" type="noConversion"/>
  </si>
  <si>
    <t>光斑均匀性要求</t>
    <phoneticPr fontId="40" type="noConversion"/>
  </si>
  <si>
    <t>光强要求</t>
    <phoneticPr fontId="40" type="noConversion"/>
  </si>
  <si>
    <t>辐射强度要求</t>
    <phoneticPr fontId="40" type="noConversion"/>
  </si>
  <si>
    <t>亮度要求</t>
    <phoneticPr fontId="40" type="noConversion"/>
  </si>
  <si>
    <t>光束全角要求</t>
    <phoneticPr fontId="40" type="noConversion"/>
  </si>
  <si>
    <t>视场全角要求</t>
    <phoneticPr fontId="40" type="noConversion"/>
  </si>
  <si>
    <t>相关色温CCT要求</t>
    <phoneticPr fontId="40" type="noConversion"/>
  </si>
  <si>
    <t>CRI显指Ra要求</t>
    <phoneticPr fontId="40" type="noConversion"/>
  </si>
  <si>
    <t>CRI显指R9要求</t>
    <phoneticPr fontId="40" type="noConversion"/>
  </si>
  <si>
    <t>色坐标CIExy要求</t>
    <phoneticPr fontId="40" type="noConversion"/>
  </si>
  <si>
    <t>色坐标CIEuv</t>
    <phoneticPr fontId="40" type="noConversion"/>
  </si>
  <si>
    <t>CIEuv</t>
    <phoneticPr fontId="40" type="noConversion"/>
  </si>
  <si>
    <t>色坐标CIEuv要求</t>
    <phoneticPr fontId="40" type="noConversion"/>
  </si>
  <si>
    <t>红绿辐通量比要求</t>
    <phoneticPr fontId="40" type="noConversion"/>
  </si>
  <si>
    <t>蓝绿辐通量比要求</t>
    <phoneticPr fontId="40" type="noConversion"/>
  </si>
  <si>
    <t>红外截止性能要求</t>
    <phoneticPr fontId="40" type="noConversion"/>
  </si>
  <si>
    <t>光照均匀性要求</t>
    <phoneticPr fontId="40" type="noConversion"/>
  </si>
  <si>
    <t>照度超限点要求</t>
    <phoneticPr fontId="40" type="noConversion"/>
  </si>
  <si>
    <t>产品工作环境温度要求</t>
    <phoneticPr fontId="40" type="noConversion"/>
  </si>
  <si>
    <t>产品工作环境相对湿度要求</t>
    <phoneticPr fontId="40" type="noConversion"/>
  </si>
  <si>
    <t>产品工作时噪声的限定要求</t>
    <phoneticPr fontId="40" type="noConversion"/>
  </si>
  <si>
    <t>产品外表面温升/温度要求</t>
    <phoneticPr fontId="40" type="noConversion"/>
  </si>
  <si>
    <t>IP防护等级要求</t>
    <phoneticPr fontId="40" type="noConversion"/>
  </si>
  <si>
    <t>产品外观颜色要求</t>
    <phoneticPr fontId="40" type="noConversion"/>
  </si>
  <si>
    <t>产品表面工艺要求</t>
    <phoneticPr fontId="40" type="noConversion"/>
  </si>
  <si>
    <t>产品重量要求</t>
    <phoneticPr fontId="40" type="noConversion"/>
  </si>
  <si>
    <t>具体的散热器技术要求</t>
    <phoneticPr fontId="40" type="noConversion"/>
  </si>
  <si>
    <t>产品功耗要求</t>
    <phoneticPr fontId="40" type="noConversion"/>
  </si>
  <si>
    <t>具体的显示类配件选型规格要求</t>
    <phoneticPr fontId="40" type="noConversion"/>
  </si>
  <si>
    <t>客户对定期校正功能的要求</t>
    <phoneticPr fontId="40" type="noConversion"/>
  </si>
  <si>
    <t>客户对闭环反馈控制功能的要求</t>
    <phoneticPr fontId="40" type="noConversion"/>
  </si>
  <si>
    <t>具体的调光范围要求</t>
    <phoneticPr fontId="40" type="noConversion"/>
  </si>
  <si>
    <t>具体的调光步距要求</t>
    <phoneticPr fontId="40" type="noConversion"/>
  </si>
  <si>
    <t>具体的频闪技术要求</t>
    <phoneticPr fontId="40" type="noConversion"/>
  </si>
  <si>
    <t>具体的调速风扇工作逻辑要求</t>
    <phoneticPr fontId="40" type="noConversion"/>
  </si>
  <si>
    <t>具体的超温报警温度与保护逻辑要求</t>
    <phoneticPr fontId="40" type="noConversion"/>
  </si>
  <si>
    <t>节点序号</t>
    <phoneticPr fontId="40" type="noConversion"/>
  </si>
  <si>
    <t>自动统计</t>
    <phoneticPr fontId="40" type="noConversion"/>
  </si>
  <si>
    <t>手动记录历史最大值（防止误删而自动统计没暴露）</t>
    <phoneticPr fontId="40" type="noConversion"/>
  </si>
  <si>
    <t>固定唯一码</t>
    <phoneticPr fontId="40" type="noConversion"/>
  </si>
  <si>
    <t>涉及</t>
    <phoneticPr fontId="40" type="noConversion"/>
  </si>
  <si>
    <t>不涉及</t>
    <phoneticPr fontId="40" type="noConversion"/>
  </si>
  <si>
    <t>None</t>
    <phoneticPr fontId="40" type="noConversion"/>
  </si>
  <si>
    <t>是否指定或提供导光束做出厂光参数测试</t>
    <phoneticPr fontId="40" type="noConversion"/>
  </si>
  <si>
    <t>指定或提供的导光束检测哪些光参数</t>
    <phoneticPr fontId="40" type="noConversion"/>
  </si>
  <si>
    <t>转接座旋帽不点胶</t>
    <phoneticPr fontId="40" type="noConversion"/>
  </si>
  <si>
    <t>是否提供导光束做转接座拉力出厂测试</t>
    <phoneticPr fontId="40" type="noConversion"/>
  </si>
  <si>
    <t>与产品主体“装一起”包装</t>
    <phoneticPr fontId="40" type="noConversion"/>
  </si>
  <si>
    <t>与产品主体“分拆”装同箱</t>
    <phoneticPr fontId="40" type="noConversion"/>
  </si>
  <si>
    <t>与产品主体“分箱”包装</t>
    <phoneticPr fontId="40" type="noConversion"/>
  </si>
  <si>
    <t>悬臂检测</t>
    <phoneticPr fontId="40" type="noConversion"/>
  </si>
  <si>
    <t>接近开关检测</t>
    <phoneticPr fontId="40" type="noConversion"/>
  </si>
  <si>
    <t>分拆装同箱</t>
    <phoneticPr fontId="40" type="noConversion"/>
  </si>
  <si>
    <t>装一起包装</t>
    <phoneticPr fontId="40" type="noConversion"/>
  </si>
  <si>
    <t>分箱包装</t>
    <phoneticPr fontId="40" type="noConversion"/>
  </si>
  <si>
    <t>普通无检测</t>
    <phoneticPr fontId="40" type="noConversion"/>
  </si>
  <si>
    <t>导光束插拔影响的光源与处理逻辑</t>
    <phoneticPr fontId="40" type="noConversion"/>
  </si>
  <si>
    <t>导光束插拔处理逻辑</t>
    <phoneticPr fontId="40" type="noConversion"/>
  </si>
  <si>
    <t>下列哪些白光或混合光参数客户进行限制</t>
    <phoneticPr fontId="40" type="noConversion"/>
  </si>
  <si>
    <t>光谱峰值比</t>
    <phoneticPr fontId="40" type="noConversion"/>
  </si>
  <si>
    <t>光谱峰值比要求</t>
    <phoneticPr fontId="40" type="noConversion"/>
  </si>
  <si>
    <t>产品是否需要输出特定混合光</t>
    <phoneticPr fontId="40" type="noConversion"/>
  </si>
  <si>
    <t>请给各输出白光或特定混合光取名</t>
    <phoneticPr fontId="40" type="noConversion"/>
  </si>
  <si>
    <t>请给各输出单色光取名</t>
    <phoneticPr fontId="40" type="noConversion"/>
  </si>
  <si>
    <t>特定混合光</t>
    <phoneticPr fontId="40" type="noConversion"/>
  </si>
  <si>
    <t>如果属于内窥镜冷光源，则需要考虑行业标准YY1081-2011的一些合规性技术要求。</t>
    <phoneticPr fontId="40"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</si>
  <si>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</si>
  <si>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</si>
  <si>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</si>
  <si>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</si>
  <si>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</si>
  <si>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</si>
  <si>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</si>
  <si>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</si>
  <si>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</si>
  <si>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</si>
  <si>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0" type="noConversion"/>
  </si>
  <si>
    <t>产品工作环境相对湿度：{V}~{T}</t>
    <phoneticPr fontId="40" type="noConversion"/>
  </si>
  <si>
    <t>产品工作噪声上限：{V}</t>
    <phoneticPr fontId="40" type="noConversion"/>
  </si>
  <si>
    <t>产品IP防护等级要求：{V}</t>
    <phoneticPr fontId="40" type="noConversion"/>
  </si>
  <si>
    <t>产品外观颜色要求：{V}</t>
    <phoneticPr fontId="40" type="noConversion"/>
  </si>
  <si>
    <t>产品表面工艺要求：{V}</t>
    <phoneticPr fontId="40" type="noConversion"/>
  </si>
  <si>
    <t>产品重量上限：{V}</t>
    <phoneticPr fontId="40" type="noConversion"/>
  </si>
  <si>
    <t>是否指定产品风扇类型、规格、数量、线长、连接器</t>
    <phoneticPr fontId="40" type="noConversion"/>
  </si>
  <si>
    <t>具体风扇规格、数量、线长、连接器要求</t>
    <phoneticPr fontId="40" type="noConversion"/>
  </si>
  <si>
    <t>产品选型、数量、线长、连接器要求：{V}</t>
    <phoneticPr fontId="40" type="noConversion"/>
  </si>
  <si>
    <t>产品散热器要求：{V}</t>
    <phoneticPr fontId="40" type="noConversion"/>
  </si>
  <si>
    <t>直流输入电压：{V}</t>
    <phoneticPr fontId="40" type="noConversion"/>
  </si>
  <si>
    <t>12V</t>
    <phoneticPr fontId="40" type="noConversion"/>
  </si>
  <si>
    <t>24V</t>
    <phoneticPr fontId="40" type="noConversion"/>
  </si>
  <si>
    <t>36V</t>
    <phoneticPr fontId="40" type="noConversion"/>
  </si>
  <si>
    <t>48V</t>
    <phoneticPr fontId="40" type="noConversion"/>
  </si>
  <si>
    <t>交流输入电压：{V}</t>
    <phoneticPr fontId="40" type="noConversion"/>
  </si>
  <si>
    <t>驱动板采用模拟输出方案，客户是否接受</t>
    <phoneticPr fontId="40" type="noConversion"/>
  </si>
  <si>
    <t>驱动板采用PWM输出方案，客户是否接受</t>
    <phoneticPr fontId="40" type="noConversion"/>
  </si>
  <si>
    <t>产品功耗上限：{V}</t>
    <phoneticPr fontId="40" type="noConversion"/>
  </si>
  <si>
    <t>是否指定产品/驱动板接口类型或规格</t>
    <phoneticPr fontId="40" type="noConversion"/>
  </si>
  <si>
    <t>产品/驱动板接口要求</t>
    <phoneticPr fontId="40" type="noConversion"/>
  </si>
  <si>
    <t>产品/驱动板接口要求：{V}</t>
    <phoneticPr fontId="40" type="noConversion"/>
  </si>
  <si>
    <t>产品采用{V}控制模式</t>
    <phoneticPr fontId="40" type="noConversion"/>
  </si>
  <si>
    <t>供货是否包含操控类配件</t>
    <phoneticPr fontId="40" type="noConversion"/>
  </si>
  <si>
    <t>以下哪些操控类配件需要随货提供</t>
    <phoneticPr fontId="40" type="noConversion"/>
  </si>
  <si>
    <t>选择批量供货时具体提供的操控类配件。</t>
    <phoneticPr fontId="40" type="noConversion"/>
  </si>
  <si>
    <t>是否指定操控类配件的选型规格参数</t>
    <phoneticPr fontId="40" type="noConversion"/>
  </si>
  <si>
    <t>具体的操控类配件选型规格要求</t>
    <phoneticPr fontId="40" type="noConversion"/>
  </si>
  <si>
    <t>操控类配件规格要求：{V}</t>
    <phoneticPr fontId="40" type="noConversion"/>
  </si>
  <si>
    <t>是否要求具备状态显示界面</t>
    <phoneticPr fontId="40" type="noConversion"/>
  </si>
  <si>
    <t>显示类配件规格要求：{V}</t>
    <phoneticPr fontId="40" type="noConversion"/>
  </si>
  <si>
    <t>定期校正功能要求：{V}</t>
    <phoneticPr fontId="40" type="noConversion"/>
  </si>
  <si>
    <t>闭环反馈控制要求：{V}</t>
    <phoneticPr fontId="40" type="noConversion"/>
  </si>
  <si>
    <t>证书要求：{V}</t>
    <phoneticPr fontId="40" type="noConversion"/>
  </si>
  <si>
    <t>要求调光范围：{V}</t>
    <phoneticPr fontId="40" type="noConversion"/>
  </si>
  <si>
    <t>要求调光步距：{V}</t>
    <phoneticPr fontId="40" type="noConversion"/>
  </si>
  <si>
    <t>频闪技术要求：{V}</t>
    <phoneticPr fontId="40" type="noConversion"/>
  </si>
  <si>
    <t>调速风扇工作逻辑要求：{V}</t>
    <phoneticPr fontId="40" type="noConversion"/>
  </si>
  <si>
    <t>超温报警温度与保护逻辑：{V}</t>
    <phoneticPr fontId="40" type="noConversion"/>
  </si>
  <si>
    <t>请提供剩余产品结构补充需求</t>
    <phoneticPr fontId="40" type="noConversion"/>
  </si>
  <si>
    <t>请提供剩余产品硬件补充需求</t>
    <phoneticPr fontId="40" type="noConversion"/>
  </si>
  <si>
    <t>请提供剩余产品软件补充需求</t>
    <phoneticPr fontId="40" type="noConversion"/>
  </si>
  <si>
    <t>最后请提供剩余产品工艺补充需求</t>
    <phoneticPr fontId="40" type="noConversion"/>
  </si>
  <si>
    <t>补充结构要求：{V}</t>
    <phoneticPr fontId="40" type="noConversion"/>
  </si>
  <si>
    <t>补充硬件要求：{V}</t>
    <phoneticPr fontId="40" type="noConversion"/>
  </si>
  <si>
    <t>补充软件要求：{V}</t>
    <phoneticPr fontId="40" type="noConversion"/>
  </si>
  <si>
    <t>补充工艺要求：{V}</t>
    <phoneticPr fontId="40" type="noConversion"/>
  </si>
  <si>
    <t>无导光束</t>
    <phoneticPr fontId="40" type="noConversion"/>
  </si>
  <si>
    <t>接近开关</t>
    <phoneticPr fontId="40" type="noConversion"/>
  </si>
  <si>
    <t>悬臂</t>
    <phoneticPr fontId="40" type="noConversion"/>
  </si>
  <si>
    <t>普通</t>
    <phoneticPr fontId="40" type="noConversion"/>
  </si>
  <si>
    <t>选项展示组</t>
    <phoneticPr fontId="40" type="noConversion"/>
  </si>
  <si>
    <t>1</t>
    <phoneticPr fontId="40" type="noConversion"/>
  </si>
  <si>
    <t>全员</t>
    <phoneticPr fontId="40" type="noConversion"/>
  </si>
  <si>
    <t>选项查阅整理要求</t>
    <phoneticPr fontId="40" type="noConversion"/>
  </si>
  <si>
    <t>光学+硬件+软件</t>
    <phoneticPr fontId="40" type="noConversion"/>
  </si>
  <si>
    <t>光学+硬件+软件+工艺</t>
    <phoneticPr fontId="40" type="noConversion"/>
  </si>
  <si>
    <t>结构+工艺+质量</t>
    <phoneticPr fontId="40" type="noConversion"/>
  </si>
  <si>
    <t>光学+工艺+质量</t>
    <phoneticPr fontId="40" type="noConversion"/>
  </si>
  <si>
    <t>结构+质量</t>
    <phoneticPr fontId="40" type="noConversion"/>
  </si>
  <si>
    <t>光学+结构+工艺+质量</t>
    <phoneticPr fontId="40" type="noConversion"/>
  </si>
  <si>
    <t>结构+硬件+质量</t>
    <phoneticPr fontId="40" type="noConversion"/>
  </si>
  <si>
    <t>硬件+软件+工艺+质量</t>
    <phoneticPr fontId="40" type="noConversion"/>
  </si>
  <si>
    <t>结构+硬件+工艺+质量</t>
    <phoneticPr fontId="40" type="noConversion"/>
  </si>
  <si>
    <t>结构+硬件+软件+工艺+质量</t>
    <phoneticPr fontId="40" type="noConversion"/>
  </si>
  <si>
    <t>光学+硬件+软件+工艺+质量</t>
    <phoneticPr fontId="40" type="noConversion"/>
  </si>
  <si>
    <t>光学+硬件+软件+质量</t>
    <phoneticPr fontId="40" type="noConversion"/>
  </si>
  <si>
    <t>硬件+工艺+质量</t>
    <phoneticPr fontId="40" type="noConversion"/>
  </si>
  <si>
    <t>软件+工艺+质量</t>
    <phoneticPr fontId="40" type="noConversion"/>
  </si>
  <si>
    <t>工艺+结构+质量</t>
    <phoneticPr fontId="40" type="noConversion"/>
  </si>
  <si>
    <t>光学+结构+硬件+质量</t>
    <phoneticPr fontId="40" type="noConversion"/>
  </si>
  <si>
    <t>光学+结构+质量</t>
    <phoneticPr fontId="40" type="noConversion"/>
  </si>
  <si>
    <t>不限制</t>
    <phoneticPr fontId="40" type="noConversion"/>
  </si>
  <si>
    <t>限制的内窥镜特有光参数：{V}</t>
    <phoneticPr fontId="40" type="noConversion"/>
  </si>
  <si>
    <t>单色光分别为：[{V}]</t>
    <phoneticPr fontId="40" type="noConversion"/>
  </si>
  <si>
    <t>白光或混合光分别为：[{V}]</t>
    <phoneticPr fontId="4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</si>
  <si>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</si>
  <si>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</si>
  <si>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</si>
  <si>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</si>
  <si>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</si>
  <si>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</si>
  <si>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</si>
  <si>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</si>
  <si>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</si>
  <si>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</si>
  <si>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</si>
  <si>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</si>
  <si>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</si>
  <si>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0" type="noConversion"/>
  </si>
  <si>
    <t>色坐标CIExy要求：[{K}{V}]</t>
    <phoneticPr fontId="40" type="noConversion"/>
  </si>
  <si>
    <t>色坐标CIEuv要求：[{K}{V}]</t>
    <phoneticPr fontId="40" type="noConversion"/>
  </si>
  <si>
    <t>选项呈现语句</t>
    <phoneticPr fontId="40" type="noConversion"/>
  </si>
  <si>
    <t>选项重点值</t>
    <phoneticPr fontId="40" type="noConversion"/>
  </si>
  <si>
    <t>导光束→产品→导光束→产品→导光束</t>
    <phoneticPr fontId="40" type="noConversion"/>
  </si>
  <si>
    <t>DCDCD</t>
    <phoneticPr fontId="40" type="noConversion"/>
  </si>
  <si>
    <t>我司</t>
    <phoneticPr fontId="40" type="noConversion"/>
  </si>
  <si>
    <t>客户</t>
    <phoneticPr fontId="40" type="noConversion"/>
  </si>
  <si>
    <t>客户自制</t>
    <phoneticPr fontId="40" type="noConversion"/>
  </si>
  <si>
    <t>{V}导光束做光参数测试</t>
    <phoneticPr fontId="40" type="noConversion"/>
  </si>
  <si>
    <t>客户指定/提供</t>
    <phoneticPr fontId="40" type="noConversion"/>
  </si>
  <si>
    <t>{V}转接座材料与表面工艺</t>
    <phoneticPr fontId="40" type="noConversion"/>
  </si>
  <si>
    <t>{V}转接座外形尺寸</t>
    <phoneticPr fontId="40" type="noConversion"/>
  </si>
  <si>
    <t>转接座头部旋帽是否按我司工艺点胶出货</t>
    <phoneticPr fontId="40" type="noConversion"/>
  </si>
  <si>
    <t>不点胶</t>
    <phoneticPr fontId="40" type="noConversion"/>
  </si>
  <si>
    <t>转接座旋帽{V}</t>
    <phoneticPr fontId="40" type="noConversion"/>
  </si>
  <si>
    <t>客供</t>
    <phoneticPr fontId="40" type="noConversion"/>
  </si>
  <si>
    <t>使用{V}导光束做拉力测试</t>
    <phoneticPr fontId="40" type="noConversion"/>
  </si>
  <si>
    <t>转接座拉力测试{V}</t>
    <phoneticPr fontId="40" type="noConversion"/>
  </si>
  <si>
    <t>指定拉力标准</t>
    <phoneticPr fontId="40" type="noConversion"/>
  </si>
  <si>
    <t>插拔使所有光源亮灭</t>
    <phoneticPr fontId="40" type="noConversion"/>
  </si>
  <si>
    <t>使所有光源亮灭</t>
    <phoneticPr fontId="40" type="noConversion"/>
  </si>
  <si>
    <t>产品需输出{V}</t>
    <phoneticPr fontId="40" type="noConversion"/>
  </si>
  <si>
    <t>产品属于{V}，需符合YY1081-2011标准要求</t>
    <phoneticPr fontId="40" type="noConversion"/>
  </si>
  <si>
    <t>内窥镜领域</t>
    <phoneticPr fontId="40" type="noConversion"/>
  </si>
  <si>
    <t>产品工作环境温度{V}</t>
    <phoneticPr fontId="40" type="noConversion"/>
  </si>
  <si>
    <t>不限定</t>
    <phoneticPr fontId="40" type="noConversion"/>
  </si>
  <si>
    <t>产品工作环境相对湿度{V}</t>
    <phoneticPr fontId="40" type="noConversion"/>
  </si>
  <si>
    <t>产品指定工作环境温度：{V}~{T}</t>
    <phoneticPr fontId="40" type="noConversion"/>
  </si>
  <si>
    <t>None</t>
    <phoneticPr fontId="40" type="noConversion"/>
  </si>
  <si>
    <t>产品工作时噪声{V}</t>
    <phoneticPr fontId="40" type="noConversion"/>
  </si>
  <si>
    <t>产品工作时外表面温度或温升{V}</t>
    <phoneticPr fontId="40" type="noConversion"/>
  </si>
  <si>
    <t>产品IP防护等级{V}</t>
    <phoneticPr fontId="40" type="noConversion"/>
  </si>
  <si>
    <t>不限定</t>
    <phoneticPr fontId="40" type="noConversion"/>
  </si>
  <si>
    <t>不指定</t>
    <phoneticPr fontId="40" type="noConversion"/>
  </si>
  <si>
    <t>有限制</t>
    <phoneticPr fontId="40" type="noConversion"/>
  </si>
  <si>
    <t>由我司自行设计</t>
    <phoneticPr fontId="40" type="noConversion"/>
  </si>
  <si>
    <t>对产品外形或安装孔位尺寸{V}</t>
    <phoneticPr fontId="40" type="noConversion"/>
  </si>
  <si>
    <t>产品外形与安装孔位]{V}</t>
    <phoneticPr fontId="40" type="noConversion"/>
  </si>
  <si>
    <t>产品进出风位置{V}</t>
    <phoneticPr fontId="40" type="noConversion"/>
  </si>
  <si>
    <t>产品出线位置{V}</t>
    <phoneticPr fontId="40" type="noConversion"/>
  </si>
  <si>
    <t>产品出光口位置{V}</t>
    <phoneticPr fontId="40" type="noConversion"/>
  </si>
  <si>
    <t>产品外观颜色{V}</t>
    <phoneticPr fontId="40" type="noConversion"/>
  </si>
  <si>
    <t>产品表面工艺{V}</t>
    <phoneticPr fontId="40" type="noConversion"/>
  </si>
  <si>
    <t>产品重量{V}</t>
    <phoneticPr fontId="40" type="noConversion"/>
  </si>
  <si>
    <t>产品必须使用{V}</t>
    <phoneticPr fontId="40" type="noConversion"/>
  </si>
  <si>
    <t>调速风扇</t>
    <phoneticPr fontId="40" type="noConversion"/>
  </si>
  <si>
    <t>产品是否使用调试风扇{V}</t>
    <phoneticPr fontId="40" type="noConversion"/>
  </si>
  <si>
    <t>由我司自行决定</t>
    <phoneticPr fontId="40" type="noConversion"/>
  </si>
  <si>
    <t>自行选型</t>
    <phoneticPr fontId="40" type="noConversion"/>
  </si>
  <si>
    <t>产品风扇由我司{V}</t>
    <phoneticPr fontId="40" type="noConversion"/>
  </si>
  <si>
    <t>产品散热器由我司{V}</t>
    <phoneticPr fontId="40" type="noConversion"/>
  </si>
  <si>
    <t>自行设计</t>
    <phoneticPr fontId="40" type="noConversion"/>
  </si>
  <si>
    <t>产品供电为{V}</t>
    <phoneticPr fontId="40" type="noConversion"/>
  </si>
  <si>
    <t>客户有使用{V}进行成像拍摄</t>
    <phoneticPr fontId="40" type="noConversion"/>
  </si>
  <si>
    <t>摄像系统</t>
    <phoneticPr fontId="40" type="noConversion"/>
  </si>
  <si>
    <t>仅使用{V}进行成像观察</t>
    <phoneticPr fontId="40" type="noConversion"/>
  </si>
  <si>
    <t>人眼</t>
    <phoneticPr fontId="40" type="noConversion"/>
  </si>
  <si>
    <t>接受驱动{V}方案</t>
    <phoneticPr fontId="40" type="noConversion"/>
  </si>
  <si>
    <t>模拟输出</t>
    <phoneticPr fontId="40" type="noConversion"/>
  </si>
  <si>
    <t>{V}驱动模拟输出方案</t>
    <phoneticPr fontId="40" type="noConversion"/>
  </si>
  <si>
    <t>不接受</t>
    <phoneticPr fontId="40" type="noConversion"/>
  </si>
  <si>
    <t>接受{V}方案</t>
    <phoneticPr fontId="40" type="noConversion"/>
  </si>
  <si>
    <t>PWM输出</t>
    <phoneticPr fontId="40" type="noConversion"/>
  </si>
  <si>
    <t>{V}PWM输出方案</t>
    <phoneticPr fontId="40" type="noConversion"/>
  </si>
  <si>
    <t>产品整体功耗{V}</t>
    <phoneticPr fontId="40" type="noConversion"/>
  </si>
  <si>
    <t>无要求</t>
    <phoneticPr fontId="40" type="noConversion"/>
  </si>
  <si>
    <t>驱动板外形或安装孔位尺寸{V}</t>
    <phoneticPr fontId="40" type="noConversion"/>
  </si>
  <si>
    <t>驱动板外形与安装孔位{V}</t>
    <phoneticPr fontId="40" type="noConversion"/>
  </si>
  <si>
    <t>产品接口规格{V}</t>
    <phoneticPr fontId="40" type="noConversion"/>
  </si>
  <si>
    <t>{V}操控类配件</t>
    <phoneticPr fontId="40" type="noConversion"/>
  </si>
  <si>
    <t>无需提供</t>
    <phoneticPr fontId="40" type="noConversion"/>
  </si>
  <si>
    <t>操控类配件{V}</t>
    <phoneticPr fontId="40" type="noConversion"/>
  </si>
  <si>
    <t>由我司选型决定</t>
    <phoneticPr fontId="40" type="noConversion"/>
  </si>
  <si>
    <t>产品需具备{V}</t>
    <phoneticPr fontId="40" type="noConversion"/>
  </si>
  <si>
    <t>状态显示界面</t>
    <phoneticPr fontId="40" type="noConversion"/>
  </si>
  <si>
    <t>{V}显示类配件</t>
    <phoneticPr fontId="40" type="noConversion"/>
  </si>
  <si>
    <t>无需提供</t>
    <phoneticPr fontId="40" type="noConversion"/>
  </si>
  <si>
    <t>显示类配件{V}</t>
    <phoneticPr fontId="40" type="noConversion"/>
  </si>
  <si>
    <t>随货{V}输入配线</t>
    <phoneticPr fontId="40" type="noConversion"/>
  </si>
  <si>
    <t>产品{V}定期校正功能</t>
    <phoneticPr fontId="40" type="noConversion"/>
  </si>
  <si>
    <t>需要具备</t>
    <phoneticPr fontId="40" type="noConversion"/>
  </si>
  <si>
    <t>产品{V}闭环反馈控制功能</t>
    <phoneticPr fontId="40" type="noConversion"/>
  </si>
  <si>
    <t>不用</t>
    <phoneticPr fontId="40" type="noConversion"/>
  </si>
  <si>
    <t>调光范围与步距{V}</t>
    <phoneticPr fontId="40" type="noConversion"/>
  </si>
  <si>
    <t>产品具备{V}</t>
    <phoneticPr fontId="40" type="noConversion"/>
  </si>
  <si>
    <t>频闪模式</t>
    <phoneticPr fontId="40" type="noConversion"/>
  </si>
  <si>
    <t>产品{V}工作</t>
    <phoneticPr fontId="40" type="noConversion"/>
  </si>
  <si>
    <t>无需频闪</t>
    <phoneticPr fontId="40" type="noConversion"/>
  </si>
  <si>
    <t>调速风扇工作逻辑{V}</t>
    <phoneticPr fontId="40" type="noConversion"/>
  </si>
  <si>
    <t>超温报警温度与保护逻辑{V}</t>
    <phoneticPr fontId="40" type="noConversion"/>
  </si>
  <si>
    <t>涉及导光束</t>
    <phoneticPr fontId="40" type="noConversion"/>
  </si>
  <si>
    <t>配转接座</t>
    <phoneticPr fontId="40" type="noConversion"/>
  </si>
  <si>
    <t>定制转接座尺寸</t>
    <phoneticPr fontId="40" type="noConversion"/>
  </si>
  <si>
    <t>定制转接座材质表面</t>
    <phoneticPr fontId="40" type="noConversion"/>
  </si>
  <si>
    <t>客供导光束测拉力</t>
    <phoneticPr fontId="40" type="noConversion"/>
  </si>
  <si>
    <t>指定拉力标准</t>
    <phoneticPr fontId="40" type="noConversion"/>
  </si>
  <si>
    <t>限环境温度</t>
    <phoneticPr fontId="40" type="noConversion"/>
  </si>
  <si>
    <t>限环境湿度</t>
    <phoneticPr fontId="40" type="noConversion"/>
  </si>
  <si>
    <t>限噪声</t>
    <phoneticPr fontId="40" type="noConversion"/>
  </si>
  <si>
    <t>限表面温度</t>
    <phoneticPr fontId="40" type="noConversion"/>
  </si>
  <si>
    <t>限IP防护等级</t>
    <phoneticPr fontId="40" type="noConversion"/>
  </si>
  <si>
    <t>限产品外形与安装孔</t>
    <phoneticPr fontId="40" type="noConversion"/>
  </si>
  <si>
    <t>限出光口位置</t>
    <phoneticPr fontId="40" type="noConversion"/>
  </si>
  <si>
    <t>限出线位置</t>
    <phoneticPr fontId="40" type="noConversion"/>
  </si>
  <si>
    <t>限进出风道</t>
    <phoneticPr fontId="40" type="noConversion"/>
  </si>
  <si>
    <t>指定产品表面工艺</t>
    <phoneticPr fontId="40" type="noConversion"/>
  </si>
  <si>
    <t>规定使用调速风扇</t>
    <phoneticPr fontId="40" type="noConversion"/>
  </si>
  <si>
    <t>指定风扇</t>
    <phoneticPr fontId="40" type="noConversion"/>
  </si>
  <si>
    <t>定制散热器</t>
    <phoneticPr fontId="40" type="noConversion"/>
  </si>
  <si>
    <t>特定调光要求</t>
    <phoneticPr fontId="40" type="noConversion"/>
  </si>
  <si>
    <t>指定风扇调速逻辑</t>
    <phoneticPr fontId="40" type="noConversion"/>
  </si>
  <si>
    <t>指定超温报警温度与逻辑</t>
    <phoneticPr fontId="40" type="noConversion"/>
  </si>
  <si>
    <t>50%亮度要测的光参数有哪些</t>
    <phoneticPr fontId="40" type="noConversion"/>
  </si>
  <si>
    <t>光斑均匀性</t>
  </si>
  <si>
    <t>导光束数值孔径{V}</t>
    <phoneticPr fontId="40" type="noConversion"/>
  </si>
  <si>
    <t>指定导光束测光参数</t>
    <phoneticPr fontId="40" type="noConversion"/>
  </si>
  <si>
    <t>转接座分拆同箱包装</t>
    <phoneticPr fontId="40" type="noConversion"/>
  </si>
  <si>
    <t>转接座一体包装</t>
    <phoneticPr fontId="40" type="noConversion"/>
  </si>
  <si>
    <t>转接座分箱包装</t>
    <phoneticPr fontId="40" type="noConversion"/>
  </si>
  <si>
    <t>导光束插拔定制逻辑</t>
    <phoneticPr fontId="40" type="noConversion"/>
  </si>
  <si>
    <t>指定电气接口</t>
    <phoneticPr fontId="40" type="noConversion"/>
  </si>
  <si>
    <t>供操控类配件</t>
    <phoneticPr fontId="40" type="noConversion"/>
  </si>
  <si>
    <t>供显示类配件</t>
    <phoneticPr fontId="40" type="noConversion"/>
  </si>
  <si>
    <t>定期校正功能</t>
    <phoneticPr fontId="40" type="noConversion"/>
  </si>
  <si>
    <t>闭环反馈控制</t>
    <phoneticPr fontId="40" type="noConversion"/>
  </si>
  <si>
    <t>频闪功能</t>
    <phoneticPr fontId="40" type="noConversion"/>
  </si>
  <si>
    <t>显示屏（仅显示）</t>
    <phoneticPr fontId="40" type="noConversion"/>
  </si>
  <si>
    <t>无光学补充需求</t>
    <phoneticPr fontId="40" type="noConversion"/>
  </si>
  <si>
    <t>光学有补充需求</t>
    <phoneticPr fontId="40" type="noConversion"/>
  </si>
  <si>
    <t>选择是否要继续补充光学需求。</t>
    <phoneticPr fontId="40" type="noConversion"/>
  </si>
  <si>
    <t>填写上面需求确认项无提及但客户有要求的光学内容。</t>
    <phoneticPr fontId="40" type="noConversion"/>
  </si>
  <si>
    <t>填写上面需求确认项无提及但客户有要求的结构内容。</t>
    <phoneticPr fontId="40" type="noConversion"/>
  </si>
  <si>
    <t>填写上面需求确认项无提及但客户有要求的硬件内容。</t>
    <phoneticPr fontId="40" type="noConversion"/>
  </si>
  <si>
    <t>填写上面需求确认项无提及但客户有要求的软件内容。</t>
    <phoneticPr fontId="40" type="noConversion"/>
  </si>
  <si>
    <t>填写上面需求确认项无提及但客户有要求的工艺内容。</t>
    <phoneticPr fontId="40" type="noConversion"/>
  </si>
  <si>
    <t>是否补充结构需求</t>
    <phoneticPr fontId="40" type="noConversion"/>
  </si>
  <si>
    <t>结构有补充需求</t>
    <phoneticPr fontId="40" type="noConversion"/>
  </si>
  <si>
    <t>无结构补充需求</t>
    <phoneticPr fontId="40" type="noConversion"/>
  </si>
  <si>
    <t>选择是否要继续补充结构需求。</t>
    <phoneticPr fontId="40" type="noConversion"/>
  </si>
  <si>
    <t>是否补充硬件需求</t>
    <phoneticPr fontId="40" type="noConversion"/>
  </si>
  <si>
    <t>硬件有补充需求</t>
    <phoneticPr fontId="40" type="noConversion"/>
  </si>
  <si>
    <t>无硬件补充需求</t>
    <phoneticPr fontId="40" type="noConversion"/>
  </si>
  <si>
    <t>选择是否要继续补充硬件需求。</t>
    <phoneticPr fontId="40" type="noConversion"/>
  </si>
  <si>
    <t>是否补充软件需求</t>
    <phoneticPr fontId="40" type="noConversion"/>
  </si>
  <si>
    <t>软件有补充需求</t>
    <phoneticPr fontId="40" type="noConversion"/>
  </si>
  <si>
    <t>无软件补充需求</t>
    <phoneticPr fontId="40" type="noConversion"/>
  </si>
  <si>
    <t>选择是否要继续补充软件需求。</t>
    <phoneticPr fontId="40" type="noConversion"/>
  </si>
  <si>
    <t>是否补充工艺需求</t>
    <phoneticPr fontId="40" type="noConversion"/>
  </si>
  <si>
    <t>工艺有补充需求</t>
    <phoneticPr fontId="40" type="noConversion"/>
  </si>
  <si>
    <t>无工艺补充需求</t>
    <phoneticPr fontId="40" type="noConversion"/>
  </si>
  <si>
    <t>选择是否要继续补充工艺需求。</t>
    <phoneticPr fontId="40" type="noConversion"/>
  </si>
  <si>
    <t>是否限制产品风道</t>
    <phoneticPr fontId="40" type="noConversion"/>
  </si>
  <si>
    <t>以太网</t>
    <phoneticPr fontId="40" type="noConversion"/>
  </si>
  <si>
    <t>选择产品的网络角色</t>
    <phoneticPr fontId="40" type="noConversion"/>
  </si>
  <si>
    <t>服务端</t>
    <phoneticPr fontId="40" type="noConversion"/>
  </si>
  <si>
    <t>客户端</t>
    <phoneticPr fontId="40" type="noConversion"/>
  </si>
  <si>
    <t>需扮演{V}功能角色</t>
    <phoneticPr fontId="40" type="noConversion"/>
  </si>
  <si>
    <t>产品在网络通信中扮演的逻辑角色与功能实现，是属于服务端还是客户端、异或两种都是。</t>
    <phoneticPr fontId="40" type="noConversion"/>
  </si>
  <si>
    <t>外部触发</t>
    <phoneticPr fontId="40" type="noConversion"/>
  </si>
  <si>
    <t>外部触发(频闪)</t>
    <phoneticPr fontId="40" type="noConversion"/>
  </si>
  <si>
    <t>配(默认)</t>
    <phoneticPr fontId="40" type="noConversion"/>
  </si>
  <si>
    <t>不配</t>
    <phoneticPr fontId="40" type="noConversion"/>
  </si>
  <si>
    <t>配</t>
    <phoneticPr fontId="40" type="noConversion"/>
  </si>
  <si>
    <t>{V}我司默认转接座旋帽</t>
    <phoneticPr fontId="40" type="noConversion"/>
  </si>
  <si>
    <t>定制旋帽</t>
    <phoneticPr fontId="40" type="noConversion"/>
  </si>
  <si>
    <t>定制</t>
    <phoneticPr fontId="40" type="noConversion"/>
  </si>
  <si>
    <t>{V}转接座旋帽</t>
    <phoneticPr fontId="40" type="noConversion"/>
  </si>
  <si>
    <t>不配旋帽</t>
    <phoneticPr fontId="40" type="noConversion"/>
  </si>
  <si>
    <t>填写旋帽具体定制要求</t>
    <phoneticPr fontId="40" type="noConversion"/>
  </si>
  <si>
    <t>转接座旋帽定制要求：{V}</t>
    <phoneticPr fontId="40" type="noConversion"/>
  </si>
  <si>
    <t>填写具体的ESD(静电放电)要求</t>
    <phoneticPr fontId="40" type="noConversion"/>
  </si>
  <si>
    <t>是否对ESD(静电放电)作具体要求</t>
    <phoneticPr fontId="40" type="noConversion"/>
  </si>
  <si>
    <t>ESD具体要求：{V}</t>
    <phoneticPr fontId="40" type="noConversion"/>
  </si>
  <si>
    <t>产品{V}具体ESD要求</t>
    <phoneticPr fontId="40" type="noConversion"/>
  </si>
  <si>
    <t>无</t>
    <phoneticPr fontId="40" type="noConversion"/>
  </si>
  <si>
    <t>填写具体ESD要求，可附上文件进行说明。</t>
    <phoneticPr fontId="40" type="noConversion"/>
  </si>
  <si>
    <t>照度要求：[{K}：{V}]</t>
    <phoneticPr fontId="40" type="noConversion"/>
  </si>
  <si>
    <t>辐照度要求：[{K}：{V}]</t>
    <phoneticPr fontId="40" type="noConversion"/>
  </si>
  <si>
    <t>亮度要求：[{K}：{V}]</t>
    <phoneticPr fontId="40" type="noConversion"/>
  </si>
  <si>
    <t>光斑尺寸要求：[{K}：{V}]</t>
    <phoneticPr fontId="40" type="noConversion"/>
  </si>
  <si>
    <t>光斑均匀性要求：[{K}：{V}]</t>
    <phoneticPr fontId="40" type="noConversion"/>
  </si>
  <si>
    <t>软式内窥镜</t>
    <phoneticPr fontId="40" type="noConversion"/>
  </si>
  <si>
    <t>硬式内窥镜</t>
    <phoneticPr fontId="40" type="noConversion"/>
  </si>
  <si>
    <t>客户使用的内窥镜属于以下哪种</t>
    <phoneticPr fontId="40" type="noConversion"/>
  </si>
  <si>
    <t>软镜</t>
    <phoneticPr fontId="40" type="noConversion"/>
  </si>
  <si>
    <t>硬镜</t>
    <phoneticPr fontId="40" type="noConversion"/>
  </si>
  <si>
    <t>客户使用{V}，导光束口径较小</t>
    <phoneticPr fontId="40" type="noConversion"/>
  </si>
  <si>
    <t>客户使用{V}，导光束口径较大</t>
    <phoneticPr fontId="40" type="noConversion"/>
  </si>
  <si>
    <t>我们的产品将搭配硬镜或软镜使用，软镜导光束较小，光学方案设计时将优先考虑小光源。</t>
    <phoneticPr fontId="40" type="noConversion"/>
  </si>
  <si>
    <t>驱动板与灯头主体采用哪种布局方案</t>
    <phoneticPr fontId="40" type="noConversion"/>
  </si>
  <si>
    <t>分体式</t>
    <phoneticPr fontId="40" type="noConversion"/>
  </si>
  <si>
    <t>内置一体式</t>
    <phoneticPr fontId="40" type="noConversion"/>
  </si>
  <si>
    <t>内置</t>
    <phoneticPr fontId="40" type="noConversion"/>
  </si>
  <si>
    <t>外露固定</t>
    <phoneticPr fontId="40" type="noConversion"/>
  </si>
  <si>
    <t>外露固定式</t>
    <phoneticPr fontId="40" type="noConversion"/>
  </si>
  <si>
    <t>驱动板{V}</t>
    <phoneticPr fontId="40" type="noConversion"/>
  </si>
  <si>
    <t>分体安装式</t>
    <phoneticPr fontId="40" type="noConversion"/>
  </si>
  <si>
    <t>分体安装</t>
    <phoneticPr fontId="40" type="noConversion"/>
  </si>
  <si>
    <t>驱动板选择内置在模组里（看不见）、外露固定在灯头上、与灯头分开客户自己决定安装位置。</t>
    <phoneticPr fontId="40" type="noConversion"/>
  </si>
  <si>
    <t>转接座外观颜色{V}</t>
    <phoneticPr fontId="40" type="noConversion"/>
  </si>
  <si>
    <t>转接座外观颜色要求：{V}</t>
    <phoneticPr fontId="40" type="noConversion"/>
  </si>
  <si>
    <t>是否要求随货提供输入配线、是否定制</t>
    <phoneticPr fontId="40" type="noConversion"/>
  </si>
  <si>
    <t>供默认</t>
    <phoneticPr fontId="40" type="noConversion"/>
  </si>
  <si>
    <t>供定制</t>
    <phoneticPr fontId="40" type="noConversion"/>
  </si>
  <si>
    <t>不供</t>
    <phoneticPr fontId="40" type="noConversion"/>
  </si>
  <si>
    <t>供默认输入线</t>
    <phoneticPr fontId="40" type="noConversion"/>
  </si>
  <si>
    <t>供定制输入线</t>
    <phoneticPr fontId="40" type="noConversion"/>
  </si>
  <si>
    <t>提供默认输入线</t>
    <phoneticPr fontId="40" type="noConversion"/>
  </si>
  <si>
    <t>提供定制输入线</t>
    <phoneticPr fontId="40" type="noConversion"/>
  </si>
  <si>
    <t>提供默认</t>
    <phoneticPr fontId="40" type="noConversion"/>
  </si>
  <si>
    <t>提供定制</t>
    <phoneticPr fontId="40" type="noConversion"/>
  </si>
  <si>
    <t>输入配线定制要求：{V}</t>
    <phoneticPr fontId="40" type="noConversion"/>
  </si>
  <si>
    <t>填写输入配线具体定制要求，如规格、颜色、线长、连接器等等信息。</t>
    <phoneticPr fontId="40" type="noConversion"/>
  </si>
  <si>
    <t>否</t>
    <phoneticPr fontId="40" type="noConversion"/>
  </si>
  <si>
    <t>定制灯头/驱动板输出线材</t>
    <phoneticPr fontId="40" type="noConversion"/>
  </si>
  <si>
    <t>灯头/驱动板输出配线{V}</t>
    <phoneticPr fontId="40" type="noConversion"/>
  </si>
  <si>
    <t>是否定制灯头/驱动板输出配线</t>
    <phoneticPr fontId="40" type="noConversion"/>
  </si>
  <si>
    <t>填写灯头/驱动板输出配线的定制要求</t>
    <phoneticPr fontId="40" type="noConversion"/>
  </si>
  <si>
    <t>填写输入配线的定制要求</t>
    <phoneticPr fontId="40" type="noConversion"/>
  </si>
  <si>
    <t>灯头/驱动板输出配线定制要求：{V}</t>
    <phoneticPr fontId="40" type="noConversion"/>
  </si>
  <si>
    <t>硬件控制</t>
    <phoneticPr fontId="40" type="noConversion"/>
  </si>
  <si>
    <t>光源</t>
    <phoneticPr fontId="40" type="noConversion"/>
  </si>
  <si>
    <t>是否对产品提出其它可靠性测试要求</t>
    <phoneticPr fontId="40" type="noConversion"/>
  </si>
  <si>
    <t>填写其它可靠性测试要求</t>
    <phoneticPr fontId="40" type="noConversion"/>
  </si>
  <si>
    <t>其它可靠性测试具体要求：{V}</t>
    <phoneticPr fontId="40" type="noConversion"/>
  </si>
  <si>
    <t>产品{V}其它可靠行测试要求</t>
    <phoneticPr fontId="40" type="noConversion"/>
  </si>
  <si>
    <t>填写其它可靠性测试要求，可附上文件进行说明。</t>
    <phoneticPr fontId="40" type="noConversion"/>
  </si>
  <si>
    <t>有无竞品提供测试参考</t>
    <phoneticPr fontId="40" type="noConversion"/>
  </si>
  <si>
    <t>有</t>
    <phoneticPr fontId="40" type="noConversion"/>
  </si>
  <si>
    <t>提供</t>
    <phoneticPr fontId="40" type="noConversion"/>
  </si>
  <si>
    <t>客户设计我司生产</t>
    <phoneticPr fontId="40" type="noConversion"/>
  </si>
  <si>
    <t>我司设计客户生产</t>
    <phoneticPr fontId="40" type="noConversion"/>
  </si>
  <si>
    <t>我司设计与生产</t>
    <phoneticPr fontId="40" type="noConversion"/>
  </si>
  <si>
    <t>客户是否指定产品需要安装如滤光片、ND镜、偏振镜、传感器、其它标准部件等。</t>
    <phoneticPr fontId="40" type="noConversion"/>
  </si>
  <si>
    <t>询问指定装载部件的设计与供货形式。</t>
    <phoneticPr fontId="40" type="noConversion"/>
  </si>
  <si>
    <t>以{V}的形式装载客户指定部件</t>
    <phoneticPr fontId="40" type="noConversion"/>
  </si>
  <si>
    <t>{V}其它指定装载部件</t>
    <phoneticPr fontId="40" type="noConversion"/>
  </si>
  <si>
    <t>指定装载部件的供货形式</t>
    <phoneticPr fontId="40" type="noConversion"/>
  </si>
  <si>
    <t>是否要求产品装载其它指定部件</t>
    <phoneticPr fontId="40" type="noConversion"/>
  </si>
  <si>
    <t>装载指定部件</t>
    <phoneticPr fontId="40" type="noConversion"/>
  </si>
  <si>
    <t>指定装载部件的技术要求</t>
    <phoneticPr fontId="40" type="noConversion"/>
  </si>
  <si>
    <t>指定装载部件的技术要求：{V}</t>
    <phoneticPr fontId="40" type="noConversion"/>
  </si>
  <si>
    <t>填写客户对指定装载部件的技术要求。</t>
    <phoneticPr fontId="40" type="noConversion"/>
  </si>
  <si>
    <t>提供指定装载部件的规格尺寸或图纸</t>
    <phoneticPr fontId="40" type="noConversion"/>
  </si>
  <si>
    <t>指定装载部件的规格尺寸：{V}</t>
    <phoneticPr fontId="40" type="noConversion"/>
  </si>
  <si>
    <t>填写客户设计或供货的指定装载部件的规格尺寸或图纸，我司需要根据提供的资料配合评估设计。</t>
    <phoneticPr fontId="40" type="noConversion"/>
  </si>
  <si>
    <t>不拆</t>
    <phoneticPr fontId="40" type="noConversion"/>
  </si>
  <si>
    <t>产品指定装载部件的拆装要求</t>
    <phoneticPr fontId="40" type="noConversion"/>
  </si>
  <si>
    <t>频繁拆装</t>
    <phoneticPr fontId="40" type="noConversion"/>
  </si>
  <si>
    <t>低频拆装</t>
    <phoneticPr fontId="40" type="noConversion"/>
  </si>
  <si>
    <t>不拆</t>
    <phoneticPr fontId="40" type="noConversion"/>
  </si>
  <si>
    <t>是</t>
    <phoneticPr fontId="40" type="noConversion"/>
  </si>
  <si>
    <t>不拆卸</t>
    <phoneticPr fontId="40" type="noConversion"/>
  </si>
  <si>
    <t>客户指定部件会{V}</t>
    <phoneticPr fontId="40" type="noConversion"/>
  </si>
  <si>
    <t>客户指定部件{V}</t>
    <phoneticPr fontId="40" type="noConversion"/>
  </si>
  <si>
    <t>客户指定部件{V}</t>
    <phoneticPr fontId="40" type="noConversion"/>
  </si>
  <si>
    <t>不需运动</t>
    <phoneticPr fontId="40" type="noConversion"/>
  </si>
  <si>
    <t>有需要运动的</t>
    <phoneticPr fontId="40" type="noConversion"/>
  </si>
  <si>
    <t>产品指定装载部件是否有需要运动的</t>
    <phoneticPr fontId="40" type="noConversion"/>
  </si>
  <si>
    <t>询问指定装载部件需不需要设计成可拆装的，以及在什么场景下会拆装，选择拆装频繁程度。</t>
    <phoneticPr fontId="40" type="noConversion"/>
  </si>
  <si>
    <t>询问指定装载部件需不需要运动，异或安装后就静止不动。</t>
    <phoneticPr fontId="40" type="noConversion"/>
  </si>
  <si>
    <t>全员</t>
    <phoneticPr fontId="40" type="noConversion"/>
  </si>
  <si>
    <t>填写客户对指定装载部件的运动逻辑、切换速度、或其它技术要求。</t>
    <phoneticPr fontId="40" type="noConversion"/>
  </si>
  <si>
    <t>指定装载部件的运动逻辑与技术要求</t>
    <phoneticPr fontId="40" type="noConversion"/>
  </si>
  <si>
    <t>指定装载部件的运动逻辑与技术要求：{V}</t>
    <phoneticPr fontId="40" type="noConversion"/>
  </si>
  <si>
    <t>多种光色输出</t>
    <phoneticPr fontId="40" type="noConversion"/>
  </si>
  <si>
    <t>单种光色输出</t>
    <phoneticPr fontId="40" type="noConversion"/>
  </si>
  <si>
    <t>产品仅需{V}</t>
    <phoneticPr fontId="40" type="noConversion"/>
  </si>
  <si>
    <t>不同光色输出切换速度要求：{V}</t>
    <phoneticPr fontId="40" type="noConversion"/>
  </si>
  <si>
    <t>填写不同光色输出切换时的速度要求</t>
    <phoneticPr fontId="40" type="noConversion"/>
  </si>
  <si>
    <t>是否补充光学/光源需求</t>
    <phoneticPr fontId="40" type="noConversion"/>
  </si>
  <si>
    <t>请提供剩余产品光学/光源补充需求</t>
    <phoneticPr fontId="40" type="noConversion"/>
  </si>
  <si>
    <t>补充光学/光源要求：{V}</t>
    <phoneticPr fontId="40" type="noConversion"/>
  </si>
  <si>
    <t>光学+硬件+结构+工艺+质量</t>
    <phoneticPr fontId="40" type="noConversion"/>
  </si>
  <si>
    <t>外显产品</t>
    <phoneticPr fontId="40" type="noConversion"/>
  </si>
  <si>
    <t>内置产品</t>
    <phoneticPr fontId="40" type="noConversion"/>
  </si>
  <si>
    <t>客户提供的品质要求</t>
    <phoneticPr fontId="40" type="noConversion"/>
  </si>
  <si>
    <t>客户提供的品质要求：{V}</t>
    <phoneticPr fontId="40" type="noConversion"/>
  </si>
  <si>
    <t>填写指定转接座型号</t>
    <phoneticPr fontId="40" type="noConversion"/>
  </si>
  <si>
    <t>{V}转接座型号</t>
    <phoneticPr fontId="40" type="noConversion"/>
  </si>
  <si>
    <t>指定搭配转接座型号：{V}</t>
    <phoneticPr fontId="40" type="noConversion"/>
  </si>
  <si>
    <t>产品外表Logo要求</t>
    <phoneticPr fontId="40" type="noConversion"/>
  </si>
  <si>
    <t>产品外表Logo{V}</t>
    <phoneticPr fontId="40" type="noConversion"/>
  </si>
  <si>
    <t>产品外表Logo要求：{V}</t>
    <phoneticPr fontId="40" type="noConversion"/>
  </si>
  <si>
    <t>是否指定产品面板的界面菜单内容或工艺</t>
    <phoneticPr fontId="40" type="noConversion"/>
  </si>
  <si>
    <t>产品面板的界面菜单内容或工艺要求</t>
    <phoneticPr fontId="40" type="noConversion"/>
  </si>
  <si>
    <t>产品面板的界面菜单内容与工艺{V}</t>
    <phoneticPr fontId="40" type="noConversion"/>
  </si>
  <si>
    <t>产品面板的界面菜单内容与工艺要求：{V}</t>
    <phoneticPr fontId="40" type="noConversion"/>
  </si>
  <si>
    <t>产品标签要求：{V}</t>
    <phoneticPr fontId="40" type="noConversion"/>
  </si>
  <si>
    <t>产品标签{V}</t>
    <phoneticPr fontId="40" type="noConversion"/>
  </si>
  <si>
    <t>是否定制产品标签</t>
    <phoneticPr fontId="40" type="noConversion"/>
  </si>
  <si>
    <t>填写产品标签定制要求</t>
    <phoneticPr fontId="40" type="noConversion"/>
  </si>
  <si>
    <t>定制标签</t>
    <phoneticPr fontId="40" type="noConversion"/>
  </si>
  <si>
    <t>产品外壳合适位置会粘贴产品标签，客户是否指定标签的格式、内容、粘贴位置、材质、颜色、工艺。</t>
    <phoneticPr fontId="40" type="noConversion"/>
  </si>
  <si>
    <t>是否要求中性包装(无我司Logo)</t>
    <phoneticPr fontId="40" type="noConversion"/>
  </si>
  <si>
    <t>中性包装</t>
    <phoneticPr fontId="40" type="noConversion"/>
  </si>
  <si>
    <t>包材要求{V}</t>
    <phoneticPr fontId="40" type="noConversion"/>
  </si>
  <si>
    <t>包材{V}</t>
    <phoneticPr fontId="40" type="noConversion"/>
  </si>
  <si>
    <t>无中性要求</t>
    <phoneticPr fontId="40" type="noConversion"/>
  </si>
  <si>
    <t>我司默认在纸箱上会印有公司Logo，部分客户会要求包材不能有我司Logo出现。</t>
    <phoneticPr fontId="40" type="noConversion"/>
  </si>
  <si>
    <t>光学+结构+硬件+工艺+质量</t>
    <phoneticPr fontId="40" type="noConversion"/>
  </si>
  <si>
    <t>产品工作姿态：{V}</t>
    <phoneticPr fontId="40" type="noConversion"/>
  </si>
  <si>
    <t>结构+光学+硬件</t>
    <phoneticPr fontId="40" type="noConversion"/>
  </si>
  <si>
    <t>产品物料成本限制</t>
    <phoneticPr fontId="40" type="noConversion"/>
  </si>
  <si>
    <t>上限</t>
    <phoneticPr fontId="40" type="noConversion"/>
  </si>
  <si>
    <t>是否存在要求单独包装的部件</t>
    <phoneticPr fontId="40" type="noConversion"/>
  </si>
  <si>
    <t>填写不跟产品主体一起配套包装，而要单独包装的部件名称，无要求则填"无"。</t>
    <phoneticPr fontId="40" type="noConversion"/>
  </si>
  <si>
    <t>要求单独包装的部件：{V}</t>
    <phoneticPr fontId="40" type="noConversion"/>
  </si>
  <si>
    <t>校正功能的交付形式</t>
    <phoneticPr fontId="40" type="noConversion"/>
  </si>
  <si>
    <t>软件系统</t>
    <phoneticPr fontId="40" type="noConversion"/>
  </si>
  <si>
    <t>校正治具</t>
    <phoneticPr fontId="40" type="noConversion"/>
  </si>
  <si>
    <t>以{V}的形式交付校正功能</t>
    <phoneticPr fontId="40" type="noConversion"/>
  </si>
  <si>
    <t>是否指定通讯协议</t>
    <phoneticPr fontId="40" type="noConversion"/>
  </si>
  <si>
    <t>指定通讯协议</t>
    <phoneticPr fontId="40" type="noConversion"/>
  </si>
  <si>
    <t>{V}通讯协议</t>
    <phoneticPr fontId="40" type="noConversion"/>
  </si>
  <si>
    <t>填写客户指定的通讯协议</t>
    <phoneticPr fontId="40" type="noConversion"/>
  </si>
  <si>
    <t>客户指定通讯协议：{V}</t>
    <phoneticPr fontId="40" type="noConversion"/>
  </si>
  <si>
    <t>填写具体协议标准，或提交协议内容说明文档。</t>
    <phoneticPr fontId="40" type="noConversion"/>
  </si>
  <si>
    <t>所选产品控制方式涉及通讯协议，是否由客户直接指定，异或由我司确定。</t>
    <phoneticPr fontId="40" type="noConversion"/>
  </si>
  <si>
    <t>是否要求产品具备在线升级功能</t>
    <phoneticPr fontId="40" type="noConversion"/>
  </si>
  <si>
    <t>填写在线升级功能技术要求</t>
    <phoneticPr fontId="40" type="noConversion"/>
  </si>
  <si>
    <t>不需要</t>
    <phoneticPr fontId="40" type="noConversion"/>
  </si>
  <si>
    <t>在线升级</t>
    <phoneticPr fontId="40" type="noConversion"/>
  </si>
  <si>
    <t>{V}在线升级功能</t>
    <phoneticPr fontId="40" type="noConversion"/>
  </si>
  <si>
    <t>在线升级功能技术要求：{V}</t>
    <phoneticPr fontId="40" type="noConversion"/>
  </si>
  <si>
    <t>填写在线升级技术要求，如接口、操作方式、软件、安全性、适用场景等，异或提供说明文档。</t>
    <phoneticPr fontId="40" type="noConversion"/>
  </si>
  <si>
    <t>填写客户要求提供的状态报警项</t>
    <phoneticPr fontId="40" type="noConversion"/>
  </si>
  <si>
    <t>是否要求产品提供状态报警信息</t>
    <phoneticPr fontId="40" type="noConversion"/>
  </si>
  <si>
    <t>提供状态报警信号</t>
    <phoneticPr fontId="40" type="noConversion"/>
  </si>
  <si>
    <t>{V}提供状态报警信号</t>
    <phoneticPr fontId="40" type="noConversion"/>
  </si>
  <si>
    <t>需要提供的状态报警项与要求：{V}</t>
    <phoneticPr fontId="40" type="noConversion"/>
  </si>
  <si>
    <t>产品是否需要具备在线升级功能（在不拆开产品机壳、不使用专用烧录器的情况下，通过外部通讯接口更新设备的固件程序）。</t>
    <phoneticPr fontId="40" type="noConversion"/>
  </si>
  <si>
    <t>填写客户要求提供的状态报警项及详细技术要求，异或提供说明文档。</t>
    <phoneticPr fontId="40" type="noConversion"/>
  </si>
  <si>
    <t>是否要求产品光电响应速度</t>
    <phoneticPr fontId="40" type="noConversion"/>
  </si>
  <si>
    <t>要求光电响应速度</t>
    <phoneticPr fontId="40" type="noConversion"/>
  </si>
  <si>
    <t>{V}产品光电响应速度</t>
    <phoneticPr fontId="40" type="noConversion"/>
  </si>
  <si>
    <t>产品光电响应速度要求：{V}</t>
    <phoneticPr fontId="40" type="noConversion"/>
  </si>
  <si>
    <t>产品从发出信号到光输出发生变化，存在时间延迟，客户是否对这个延迟时间有具体要求。</t>
    <phoneticPr fontId="40" type="noConversion"/>
  </si>
  <si>
    <t>填写具体光电响应速度/时间延迟要求。</t>
    <phoneticPr fontId="40" type="noConversion"/>
  </si>
  <si>
    <t>填写光电响应速度技术要求</t>
    <phoneticPr fontId="40" type="noConversion"/>
  </si>
  <si>
    <t>串口通讯波特率</t>
    <phoneticPr fontId="40" type="noConversion"/>
  </si>
  <si>
    <t>波特率9600</t>
    <phoneticPr fontId="40" type="noConversion"/>
  </si>
  <si>
    <t>波特率19200</t>
    <phoneticPr fontId="40" type="noConversion"/>
  </si>
  <si>
    <t>波特率115200</t>
    <phoneticPr fontId="40" type="noConversion"/>
  </si>
  <si>
    <t>串口通讯波特率选择{V}</t>
    <phoneticPr fontId="40" type="noConversion"/>
  </si>
  <si>
    <t>选择串口通讯波特率。</t>
    <phoneticPr fontId="40" type="noConversion"/>
  </si>
  <si>
    <t>串口通讯其它技术要求</t>
    <phoneticPr fontId="40" type="noConversion"/>
  </si>
  <si>
    <t>串口通讯其它技术要求：{V}</t>
    <phoneticPr fontId="40" type="noConversion"/>
  </si>
  <si>
    <t>外部触发模式技术要求</t>
    <phoneticPr fontId="40" type="noConversion"/>
  </si>
  <si>
    <t>PWM调光技术要求</t>
    <phoneticPr fontId="40" type="noConversion"/>
  </si>
  <si>
    <t>外部触发技术要求：{V}</t>
    <phoneticPr fontId="40" type="noConversion"/>
  </si>
  <si>
    <t>PWM调光技术要求：{V}</t>
    <phoneticPr fontId="40" type="noConversion"/>
  </si>
  <si>
    <t>以太网模式技术要求</t>
    <phoneticPr fontId="40" type="noConversion"/>
  </si>
  <si>
    <t>电位器调光技术要求</t>
    <phoneticPr fontId="40" type="noConversion"/>
  </si>
  <si>
    <t>总线类CAN模式技术要求</t>
    <phoneticPr fontId="40" type="noConversion"/>
  </si>
  <si>
    <t>CAN模式技术要求：{V}</t>
    <phoneticPr fontId="40" type="noConversion"/>
  </si>
  <si>
    <t>以太网模式技术要求：{V}</t>
    <phoneticPr fontId="40" type="noConversion"/>
  </si>
  <si>
    <t>电位器调光技术要求：{V}</t>
    <phoneticPr fontId="40" type="noConversion"/>
  </si>
  <si>
    <t>具体的状态显示/UI设计与逻辑要求</t>
    <phoneticPr fontId="40" type="noConversion"/>
  </si>
  <si>
    <t>状态显示/UI与逻辑要求：{V}</t>
    <phoneticPr fontId="40" type="noConversion"/>
  </si>
  <si>
    <t>IIC模式技术要求</t>
    <phoneticPr fontId="40" type="noConversion"/>
  </si>
  <si>
    <t>IIC技术要求：{V}</t>
    <phoneticPr fontId="40" type="noConversion"/>
  </si>
  <si>
    <t>SPI模式技术要求</t>
    <phoneticPr fontId="40" type="noConversion"/>
  </si>
  <si>
    <t>SPI技术要求：{V}</t>
    <phoneticPr fontId="40" type="noConversion"/>
  </si>
  <si>
    <t>开关/踏板模式技术要求</t>
    <phoneticPr fontId="40" type="noConversion"/>
  </si>
  <si>
    <t>按键开关/踏板技术要求：{V}</t>
    <phoneticPr fontId="40" type="noConversion"/>
  </si>
  <si>
    <t>编码器模式技术要求</t>
    <phoneticPr fontId="40" type="noConversion"/>
  </si>
  <si>
    <t>编码器技术要求：{V}</t>
    <phoneticPr fontId="40" type="noConversion"/>
  </si>
  <si>
    <t>触控屏模式技术要求</t>
    <phoneticPr fontId="40" type="noConversion"/>
  </si>
  <si>
    <t>触控屏技术要求：{V}</t>
    <phoneticPr fontId="40" type="noConversion"/>
  </si>
  <si>
    <t>填写输出配线具体定制要求，如规格、颜色、线长(默认从出线口开始计算线长)、连接器等等信息。</t>
    <phoneticPr fontId="40" type="noConversion"/>
  </si>
  <si>
    <t>产品谁设计谁生产</t>
    <phoneticPr fontId="40" type="noConversion"/>
  </si>
  <si>
    <t>设计生产</t>
    <phoneticPr fontId="40" type="noConversion"/>
  </si>
  <si>
    <t>设计</t>
    <phoneticPr fontId="40" type="noConversion"/>
  </si>
  <si>
    <t>代工</t>
    <phoneticPr fontId="40" type="noConversion"/>
  </si>
  <si>
    <t>设计与生产</t>
    <phoneticPr fontId="40" type="noConversion"/>
  </si>
  <si>
    <t>仅设计</t>
    <phoneticPr fontId="40" type="noConversion"/>
  </si>
  <si>
    <t>代工</t>
    <phoneticPr fontId="40" type="noConversion"/>
  </si>
  <si>
    <t>我司负责{V}该产品</t>
    <phoneticPr fontId="40" type="noConversion"/>
  </si>
  <si>
    <t>我司仅负责{V}该产品</t>
    <phoneticPr fontId="40" type="noConversion"/>
  </si>
  <si>
    <t>我司仅设计</t>
    <phoneticPr fontId="40" type="noConversion"/>
  </si>
  <si>
    <t>我司代工</t>
    <phoneticPr fontId="40" type="noConversion"/>
  </si>
  <si>
    <t>我司{V}该款产品</t>
    <phoneticPr fontId="40" type="noConversion"/>
  </si>
  <si>
    <t>提供的输入项数量</t>
    <phoneticPr fontId="40" type="noConversion"/>
  </si>
  <si>
    <t>共{V}项输入</t>
    <phoneticPr fontId="40" type="noConversion"/>
  </si>
  <si>
    <t>请给各输入项取标题</t>
    <phoneticPr fontId="40" type="noConversion"/>
  </si>
  <si>
    <t>输入项分别有：[{V}]</t>
    <phoneticPr fontId="40" type="noConversion"/>
  </si>
  <si>
    <t>标题力求简单明了，如：3D模型、2D工程图、装配作业指导书等。</t>
    <phoneticPr fontId="40" type="noConversion"/>
  </si>
  <si>
    <t>代工产品各项收入内容</t>
    <phoneticPr fontId="40" type="noConversion"/>
  </si>
  <si>
    <t>[{K}输入内容：{V}]</t>
    <phoneticPr fontId="40" type="noConversion"/>
  </si>
  <si>
    <t>输入占位提示内容</t>
    <phoneticPr fontId="40" type="noConversion"/>
  </si>
  <si>
    <t>无单位</t>
    <phoneticPr fontId="40" type="noConversion"/>
  </si>
  <si>
    <t>导光束转接座是由我司设计生产，还是客户自行设计生产。</t>
    <phoneticPr fontId="40" type="noConversion"/>
  </si>
  <si>
    <t>是否指定光源超温报警保护温度与保护逻辑，包括可能的减半输出温度、关闭温度、恢复温度等等。</t>
    <phoneticPr fontId="40"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</si>
  <si>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</si>
  <si>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</si>
  <si>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</si>
  <si>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</si>
  <si>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</si>
  <si>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</si>
  <si>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</si>
  <si>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</si>
  <si>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</si>
  <si>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</si>
  <si>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</si>
  <si>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</si>
  <si>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0" type="noConversion"/>
  </si>
  <si>
    <t>单位提示：mW/cm²、mm</t>
    <phoneticPr fontId="40" type="noConversion"/>
  </si>
  <si>
    <t>单位提示：cd/m²、mm</t>
    <phoneticPr fontId="40" type="noConversion"/>
  </si>
  <si>
    <t>单位提示：mm</t>
    <phoneticPr fontId="40" type="noConversion"/>
  </si>
  <si>
    <t>选项ID</t>
    <phoneticPr fontId="40" type="noConversion"/>
  </si>
  <si>
    <t>填写客户指定的转接座插拔拉力合格标准，公差示例：±5N，+0/-5N，+5N/-0。</t>
    <phoneticPr fontId="40" type="noConversion"/>
  </si>
  <si>
    <t>是否要求产品外表呈现指定Logo</t>
    <phoneticPr fontId="40" type="noConversion"/>
  </si>
  <si>
    <t>随货提供{V}显示类配件</t>
    <phoneticPr fontId="40" type="noConversion"/>
  </si>
  <si>
    <t>采用{V}方式做状态显示设计</t>
    <phoneticPr fontId="40" type="noConversion"/>
  </si>
  <si>
    <t>随货提供{V}操控类配件</t>
    <phoneticPr fontId="40" type="noConversion"/>
  </si>
  <si>
    <t>白光或混合光对{V}光参数进行了限制</t>
    <phoneticPr fontId="40" type="noConversion"/>
  </si>
  <si>
    <t>单色光对{V}光参数进行了限制</t>
    <phoneticPr fontId="40" type="noConversion"/>
  </si>
  <si>
    <t>定制检测方案</t>
    <phoneticPr fontId="40" type="noConversion"/>
  </si>
  <si>
    <t>定制检测</t>
    <phoneticPr fontId="40" type="noConversion"/>
  </si>
  <si>
    <t>悬臂检测类转接座</t>
    <phoneticPr fontId="40" type="noConversion"/>
  </si>
  <si>
    <t>接近开关检测类转接座</t>
    <phoneticPr fontId="40" type="noConversion"/>
  </si>
  <si>
    <t>普通无检测类转接座</t>
    <phoneticPr fontId="40" type="noConversion"/>
  </si>
  <si>
    <t>定制检测类转接座</t>
    <phoneticPr fontId="40" type="noConversion"/>
  </si>
  <si>
    <t>转接座客户要求{V}</t>
    <phoneticPr fontId="40" type="noConversion"/>
  </si>
  <si>
    <t>填写转接座的导光束检测方案定制要求</t>
    <phoneticPr fontId="40" type="noConversion"/>
  </si>
  <si>
    <t>转接座检测方案定制要求：{V}</t>
    <phoneticPr fontId="40" type="noConversion"/>
  </si>
  <si>
    <t>我司转接座有默认的设计形式，是否符合客户使用场景？
如果客户有形状或尺寸方面的具体定制要求，请选“是”。</t>
    <phoneticPr fontId="40" type="noConversion"/>
  </si>
  <si>
    <t>按YY1081-2011标准要求，光通量、相对色温、显色指数、红绿辐通量比、蓝绿辐通量比
需要在100%与50%亮度情况下均满足声称的规格标准要求</t>
    <phoneticPr fontId="40" type="noConversion"/>
  </si>
  <si>
    <t>我司常规产品默认使用普通无调速功能风扇，特殊需要才会应用调速风扇，
客户是否指定必须使用调速风扇?</t>
    <phoneticPr fontId="40" type="noConversion"/>
  </si>
  <si>
    <t>客户成像端有摄像系统参与就意味着产品不止用于为人眼观察提供照明，
摄像系统能捕捉到更高频率的照明闪烁，这将影响驱动输出方案的选择。</t>
    <phoneticPr fontId="40"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</si>
  <si>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0"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</si>
  <si>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0" type="noConversion"/>
  </si>
  <si>
    <t>产品是否需要提供状态报警信号给客户上位机，
如过温报警、电压/电流异常、制冷系统故障、负载开路/短路、
传感器断线、通讯超时、指令错误、寿命老化预警等。</t>
    <phoneticPr fontId="40" type="noConversion"/>
  </si>
  <si>
    <t>产品供货时，是否包含控制操作时需要使用的配件，
例如：按钮、电位器、触摸屏等等。</t>
    <phoneticPr fontId="40"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</si>
  <si>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0" type="noConversion"/>
  </si>
  <si>
    <t>光学器件</t>
    <phoneticPr fontId="40" type="noConversion"/>
  </si>
  <si>
    <t>填写产品物料成本限制，设计方案将基于该限制酌情考虑，
研发在预估明显超过成本限制的情况下会反馈给销售。</t>
    <phoneticPr fontId="40" type="noConversion"/>
  </si>
  <si>
    <t>产品是否会被终端用户观察到</t>
    <phoneticPr fontId="40" type="noConversion"/>
  </si>
  <si>
    <t>会</t>
    <phoneticPr fontId="40" type="noConversion"/>
  </si>
  <si>
    <t>不会</t>
    <phoneticPr fontId="40" type="noConversion"/>
  </si>
  <si>
    <t>产品在终端用户使用时{V}被观察到</t>
    <phoneticPr fontId="40" type="noConversion"/>
  </si>
  <si>
    <t>是否绑定转接座型号或下单时选配</t>
    <phoneticPr fontId="40" type="noConversion"/>
  </si>
  <si>
    <t>绑定</t>
    <phoneticPr fontId="40" type="noConversion"/>
  </si>
  <si>
    <t>选配</t>
    <phoneticPr fontId="40" type="noConversion"/>
  </si>
  <si>
    <t>下单时选配</t>
    <phoneticPr fontId="40" type="noConversion"/>
  </si>
  <si>
    <t>产品是否属于医疗内窥镜冷光源/光源模组</t>
    <phoneticPr fontId="40" type="noConversion"/>
  </si>
  <si>
    <t>说明产品应用领域</t>
    <phoneticPr fontId="40" type="noConversion"/>
  </si>
  <si>
    <t>产品应用领域：{V}</t>
    <phoneticPr fontId="40" type="noConversion"/>
  </si>
  <si>
    <t>填写产品将应用于哪个专业领域，
如：内窥镜冷光源、手术显微镜、手术无影灯、牙科检查、牙科固化、特定波段光疗、
紫外灭菌、紫外固化、工业机器视觉、半导体检测、科研实验。</t>
    <phoneticPr fontId="40" type="noConversion"/>
  </si>
  <si>
    <t>产品是否要求实现科勒照明效果</t>
    <phoneticPr fontId="40" type="noConversion"/>
  </si>
  <si>
    <t>产品要求实现{V}</t>
    <phoneticPr fontId="40" type="noConversion"/>
  </si>
  <si>
    <t>科勒照明</t>
    <phoneticPr fontId="40" type="noConversion"/>
  </si>
  <si>
    <t>科勒系统照明工作距离要求：{V}</t>
    <phoneticPr fontId="40" type="noConversion"/>
  </si>
  <si>
    <t>光学+结构</t>
    <phoneticPr fontId="40" type="noConversion"/>
  </si>
  <si>
    <t>填写产品工作距离，如：距离出光口结构端面10mm。</t>
    <phoneticPr fontId="40" type="noConversion"/>
  </si>
  <si>
    <t>填写产品的工作距离</t>
    <phoneticPr fontId="40" type="noConversion"/>
  </si>
  <si>
    <t>填写产品的有效照明直径要求</t>
    <phoneticPr fontId="40" type="noConversion"/>
  </si>
  <si>
    <t>科勒系统照明有效照明直径要求：{V}</t>
    <phoneticPr fontId="40" type="noConversion"/>
  </si>
  <si>
    <t>距离出光口结构端面10mm</t>
    <phoneticPr fontId="40" type="noConversion"/>
  </si>
  <si>
    <t>填写产品的数值孔径NA要求</t>
    <phoneticPr fontId="40" type="noConversion"/>
  </si>
  <si>
    <t>填写产品的远心度要求</t>
    <phoneticPr fontId="40" type="noConversion"/>
  </si>
  <si>
    <t>科勒系统照明数值孔径要求：{V}</t>
    <phoneticPr fontId="40" type="noConversion"/>
  </si>
  <si>
    <t>科勒系统照明远心度要求：{V}</t>
    <phoneticPr fontId="40" type="noConversion"/>
  </si>
  <si>
    <t>填写产品数值孔径NA要求，如：NA0.3。</t>
    <phoneticPr fontId="40" type="noConversion"/>
  </si>
  <si>
    <t>填写产品远心度要求，如：＜3°。</t>
    <phoneticPr fontId="40" type="noConversion"/>
  </si>
  <si>
    <t>＜3°</t>
    <phoneticPr fontId="40" type="noConversion"/>
  </si>
  <si>
    <t>NA0.3</t>
    <phoneticPr fontId="40" type="noConversion"/>
  </si>
  <si>
    <t>科勒照明</t>
    <phoneticPr fontId="40"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</si>
  <si>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0" type="noConversion"/>
  </si>
  <si>
    <t>产品工作时采取的姿态</t>
    <phoneticPr fontId="40" type="noConversion"/>
  </si>
  <si>
    <t>如：2000RMB</t>
    <phoneticPr fontId="40" type="noConversion"/>
  </si>
  <si>
    <t>导光束作为光源给我司产品提供光，或导光束作为传输工具参与我司产品对光的处理，或我司产品需要将光输出给导光束。</t>
    <phoneticPr fontId="40" type="noConversion"/>
  </si>
  <si>
    <t>单位提示：mm</t>
    <phoneticPr fontId="40" type="noConversion"/>
  </si>
  <si>
    <t>产品是否涉及导光束/光纤</t>
    <phoneticPr fontId="40" type="noConversion"/>
  </si>
  <si>
    <t>导光束/光纤与产品的协同关系</t>
    <phoneticPr fontId="40" type="noConversion"/>
  </si>
  <si>
    <t>我司是否负责导光束/光纤的供货</t>
    <phoneticPr fontId="40" type="noConversion"/>
  </si>
  <si>
    <t>导光束/光纤输入端通光口径</t>
    <phoneticPr fontId="40" type="noConversion"/>
  </si>
  <si>
    <t>导光束/光纤输出端通光口径</t>
    <phoneticPr fontId="40" type="noConversion"/>
  </si>
  <si>
    <t>导光束/光纤NA值</t>
    <phoneticPr fontId="40" type="noConversion"/>
  </si>
  <si>
    <t>导光束/光纤品牌、规格、尺寸</t>
    <phoneticPr fontId="40" type="noConversion"/>
  </si>
  <si>
    <t>产品{V}导光束/光纤</t>
    <phoneticPr fontId="40" type="noConversion"/>
  </si>
  <si>
    <t>导光束/光纤为输入源：{V}</t>
    <phoneticPr fontId="40" type="noConversion"/>
  </si>
  <si>
    <t>导光束/光纤为输出目标：{V}</t>
    <phoneticPr fontId="40" type="noConversion"/>
  </si>
  <si>
    <t>导光束/光纤为传输作用：{V}</t>
    <phoneticPr fontId="40" type="noConversion"/>
  </si>
  <si>
    <t>导光束/光纤作为源与目标：{V}</t>
    <phoneticPr fontId="40" type="noConversion"/>
  </si>
  <si>
    <t>导光束/光纤参与传输也是目标：{V}</t>
    <phoneticPr fontId="40" type="noConversion"/>
  </si>
  <si>
    <t>导光束/光纤作为输入、过程、目标：{V}</t>
    <phoneticPr fontId="40" type="noConversion"/>
  </si>
  <si>
    <t>导光束/光纤由{V}负责供货</t>
    <phoneticPr fontId="40" type="noConversion"/>
  </si>
  <si>
    <t>配导光束/光纤</t>
    <phoneticPr fontId="40" type="noConversion"/>
  </si>
  <si>
    <t>导光束/光纤是否作为产品的一部分卖给客户？</t>
    <phoneticPr fontId="40" type="noConversion"/>
  </si>
  <si>
    <t>导光束/光纤输入端通光口径：{V}</t>
    <phoneticPr fontId="40" type="noConversion"/>
  </si>
  <si>
    <t>导光束/光纤输出端通光口径：{V}</t>
    <phoneticPr fontId="40" type="noConversion"/>
  </si>
  <si>
    <t>导光束/光纤数值孔径：{V}</t>
    <phoneticPr fontId="40" type="noConversion"/>
  </si>
  <si>
    <t>单位提示：mm、cm、m</t>
    <phoneticPr fontId="40" type="noConversion"/>
  </si>
  <si>
    <t>是否由我司负责导光束/光纤转接座的设计生产</t>
    <phoneticPr fontId="40" type="noConversion"/>
  </si>
  <si>
    <t>导光束/光纤转接座由{V}设计生产</t>
    <phoneticPr fontId="40" type="noConversion"/>
  </si>
  <si>
    <t>{V}导光束/光纤转接机构</t>
    <phoneticPr fontId="40" type="noConversion"/>
  </si>
  <si>
    <t>根据客户反馈的导光束规格尺寸，结合我司产品灯头的特点，判断是否指定搭配某款现有转接座。</t>
    <phoneticPr fontId="40" type="noConversion"/>
  </si>
  <si>
    <t>如何要求我司转接座默认旋帽</t>
    <phoneticPr fontId="40" type="noConversion"/>
  </si>
  <si>
    <t>是否指定导光束/光纤转接座材料及表面工艺</t>
    <phoneticPr fontId="40" type="noConversion"/>
  </si>
  <si>
    <t>是否指定导光束/光纤转接座尺寸形状</t>
    <phoneticPr fontId="40" type="noConversion"/>
  </si>
  <si>
    <t>是否指定导光束/光纤转接座外观颜色</t>
    <phoneticPr fontId="40" type="noConversion"/>
  </si>
  <si>
    <t>转接座外观颜色要求</t>
    <phoneticPr fontId="40" type="noConversion"/>
  </si>
  <si>
    <t>导光束/光纤转接座包装要求</t>
    <phoneticPr fontId="40" type="noConversion"/>
  </si>
  <si>
    <t>导光束/光纤转接座是否要求插拔检测功能</t>
    <phoneticPr fontId="40" type="noConversion"/>
  </si>
  <si>
    <t>填写客户对转接座如何检测导光束/光纤的要求，可附上必要的文档说明。</t>
    <phoneticPr fontId="40" type="noConversion"/>
  </si>
  <si>
    <t>导光束/光纤{V}</t>
    <phoneticPr fontId="40" type="noConversion"/>
  </si>
  <si>
    <t/>
  </si>
  <si>
    <t>无条件</t>
    <phoneticPr fontId="40" type="noConversion"/>
  </si>
  <si>
    <t>单位提示：lm、%</t>
    <phoneticPr fontId="40" type="noConversion"/>
  </si>
  <si>
    <t>单位提示：mW、%</t>
    <phoneticPr fontId="40" type="noConversion"/>
  </si>
  <si>
    <t>单位提示：cd、%</t>
    <phoneticPr fontId="40" type="noConversion"/>
  </si>
  <si>
    <t>公差占位提示内容</t>
    <phoneticPr fontId="40" type="noConversion"/>
  </si>
  <si>
    <t>单位提示：mW</t>
    <phoneticPr fontId="40" type="noConversion"/>
  </si>
  <si>
    <t>单位提示：%</t>
    <phoneticPr fontId="40" type="noConversion"/>
  </si>
  <si>
    <t>单位提示：mW/sr、%</t>
    <phoneticPr fontId="40" type="noConversion"/>
  </si>
  <si>
    <t>单位提示：Lux、%</t>
    <phoneticPr fontId="40" type="noConversion"/>
  </si>
  <si>
    <t>单位提示：mW/cm²、%</t>
    <phoneticPr fontId="40" type="noConversion"/>
  </si>
  <si>
    <t>单位提示：cd/m²、%</t>
    <phoneticPr fontId="40" type="noConversion"/>
  </si>
  <si>
    <t>填写客户要求的相对湿度（RH）上下限，一般用百分比表示，如RH60%~RH90%。</t>
    <phoneticPr fontId="40" type="noConversion"/>
  </si>
  <si>
    <t>单位提示：N</t>
    <phoneticPr fontId="40" type="noConversion"/>
  </si>
  <si>
    <t>{V}加测50%亮度档（标准默认同100%亮度档）</t>
    <phoneticPr fontId="40" type="noConversion"/>
  </si>
  <si>
    <t>填写客户提供了多少项输入，包括各项要求、资料。</t>
    <phoneticPr fontId="40" type="noConversion"/>
  </si>
  <si>
    <t>填写各项输入项内容，或写明引用的文件编号，如：3D模型详见引用2。</t>
    <phoneticPr fontId="40" type="noConversion"/>
  </si>
  <si>
    <t>客户是否提供竞品或现有产品的实物或产品资料以供测试参考，可提高项目研发成功率。</t>
    <phoneticPr fontId="40" type="noConversion"/>
  </si>
  <si>
    <t>{V}竞品/现有产品参考</t>
    <phoneticPr fontId="40" type="noConversion"/>
  </si>
  <si>
    <t>该项目我司负责哪些功能模块的设计与生产，即我们卖什么？大部分产品全部选项均勾选。</t>
    <phoneticPr fontId="40"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</si>
  <si>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0" type="noConversion"/>
  </si>
  <si>
    <t>询问客户我司产品在终端用户使用时，会不会被用户看到。
如果有外露部分，外观部件有无外观品质要求，需要跟客户仔细确定，可附文件说明技术要求。</t>
    <phoneticPr fontId="40" type="noConversion"/>
  </si>
  <si>
    <t xml:space="preserve">填写产品工作时，可能出现的姿态，可以有多种不同姿态，主要用于评估重力对机构、散热、振动等可靠性的影响。
如：出光口水平输出/垂直向下输出/垂直向上输出。
</t>
    <phoneticPr fontId="40" type="noConversion"/>
  </si>
  <si>
    <t>尽量与客户确认对产品的品质要求、特别是外观品质要求，有无明确的文件输入，可提交附件。</t>
    <phoneticPr fontId="40" type="noConversion"/>
  </si>
  <si>
    <t>产品是否需要与导光束进行协同，不管这个导光束或转接座是否由我司提供，只要产品需要与导光束协同，均属涉及。</t>
    <phoneticPr fontId="40" type="noConversion"/>
  </si>
  <si>
    <t>填写客户使用或要求的导光束/光纤 输入端 通光口径，注意是“透光”部分，如：Φ5mm。</t>
    <phoneticPr fontId="40" type="noConversion"/>
  </si>
  <si>
    <t>填写客户使用或要求的导光束/光纤 输出端 通光口径的要求，注意是“透光”部分，如：Φ4.8mm。</t>
    <phoneticPr fontId="40" type="noConversion"/>
  </si>
  <si>
    <t>填写与产品协同的导光束/光纤的NA值，如：0.62、0.42、0.22。</t>
    <phoneticPr fontId="40"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</si>
  <si>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0" type="noConversion"/>
  </si>
  <si>
    <t>填写具体指定搭配的转接座型号，可在项目总表格里查RFAD系列进行挑选。</t>
    <phoneticPr fontId="40" type="noConversion"/>
  </si>
  <si>
    <t>我司转接座默认有旋帽，转接座装到客户机箱上以后，旋帽会外露在机箱面板前，
询问客户用我司默认旋帽、还是自己做、还是定制。</t>
    <phoneticPr fontId="40" type="noConversion"/>
  </si>
  <si>
    <t>填写客户对转接座旋帽形状尺寸、表面工艺的要求，最好附上图纸说明。</t>
    <phoneticPr fontId="40" type="noConversion"/>
  </si>
  <si>
    <t>填写客户对转接座形状尺寸的定制要求，最好附上图纸说明。</t>
    <phoneticPr fontId="40" type="noConversion"/>
  </si>
  <si>
    <t>我司转接座材料及表面工艺默认：6061铝合金，100目喷砂，阳极氧化；
如果客户有其它要求的工艺，请选“是”。</t>
    <phoneticPr fontId="40" type="noConversion"/>
  </si>
  <si>
    <t>填写客户指定的具体材料或表面工艺要求，如：6061铝合金，100目喷砂，导电氧化。</t>
    <phoneticPr fontId="40" type="noConversion"/>
  </si>
  <si>
    <t>是否指定转接座外观颜色，不指定则我司默认在铝合金原色阳极氧化工艺下，外观看起来是银色的。</t>
    <phoneticPr fontId="40" type="noConversion"/>
  </si>
  <si>
    <t>我司导光束转接座头部旋帽默认会在内部点胶处理，防止松脱掉，
部分客户要求不点胶出货，他们自行装配后自己点胶。</t>
    <phoneticPr fontId="40" type="noConversion"/>
  </si>
  <si>
    <t>与客户协商好转接座与产品主体是否装一起发货，还是分拆配好螺丝客户自己装配，包括装箱方式。</t>
    <phoneticPr fontId="40" type="noConversion"/>
  </si>
  <si>
    <t>大部分荧光模组默认支持接近开关检测；
大部分单白光模组默认支持机械悬臂检测，也可定制为接近开关检测；
新项目需要检测的情况下推荐接近开关检测，或客户定制检测方案。</t>
    <phoneticPr fontId="40" type="noConversion"/>
  </si>
  <si>
    <t>导光束插拔影响哪些光源的亮灭？
使所有光源亮灭：拔出导光束所有光源灭，插入导光束所有光源马上亮；
其它情况选“有特殊逻辑”</t>
    <phoneticPr fontId="40" type="noConversion"/>
  </si>
  <si>
    <t>详细罗列客户指定的导光束插拔处理逻辑，例如：插拔只控制白光，激光不受影响。</t>
    <phoneticPr fontId="40"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</si>
  <si>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0" type="noConversion"/>
  </si>
  <si>
    <t>填写客户指定的导光束及测试参数，例如：客供3米导光束测：光通量，显色指数，抽检10%/全检；
其余未限定光参数，默认使用我司1M、Φ5、NA0.62导光束进行测试。</t>
    <phoneticPr fontId="40" type="noConversion"/>
  </si>
  <si>
    <t>我司默认使用自己的导光束头部治具做插拔拉力测试，鉴于头部尺寸偏差会影响测试结果，
如果客户对导光束插拔力要求较精确，则需要客户提供导光束做的生产拉力测试。</t>
    <phoneticPr fontId="40" type="noConversion"/>
  </si>
  <si>
    <t>填写产品有效照明直径要求，默认定义中心照度的90%为有效区域边缘，如：Φ2mm@中心照度90%。</t>
    <phoneticPr fontId="40" type="noConversion"/>
  </si>
  <si>
    <t>Φ2mm@中心照度90%</t>
    <phoneticPr fontId="40" type="noConversion"/>
  </si>
  <si>
    <t>产品是否需要输出多种光</t>
    <phoneticPr fontId="40" type="noConversion"/>
  </si>
  <si>
    <t>如产品可输出单白光、又可输出单紫光、又可输出白+紫复合光，则选：是；
如产品只输出某某光（白光、单色光、复合光），只输出一种就够了，则选：否。</t>
    <phoneticPr fontId="40" type="noConversion"/>
  </si>
  <si>
    <t>单位提示：us、ms、s</t>
    <phoneticPr fontId="40" type="noConversion"/>
  </si>
  <si>
    <t>填写产品在不同光色输出之间切换时的速度要求，如：≤200ms，无要求填写"无要求"。</t>
    <phoneticPr fontId="40" type="noConversion"/>
  </si>
  <si>
    <t>站在用户使用场景考虑，产品是否需要输出单色光；
注意RGB三个单色光源合白光输出，如果用户使用场景只用合白光模式，那就不算需要输出单色光；
例如：红光、绿光、紫光等。</t>
    <phoneticPr fontId="40" type="noConversion"/>
  </si>
  <si>
    <t>取名力求简单明了，如：蓝光、B光、450nm光等。</t>
    <phoneticPr fontId="40" type="noConversion"/>
  </si>
  <si>
    <t>特指需要在某些光参数方面做特定要求、由我司控制光源实现的混合光，客户通过单色光自由混合实现的除外;
如：某种特定峰值比的混合光，某种特殊色温的混白光。</t>
    <phoneticPr fontId="40" type="noConversion"/>
  </si>
  <si>
    <t>产品需要多少种白光或特定混合光输出</t>
    <phoneticPr fontId="40" type="noConversion"/>
  </si>
  <si>
    <t>如同一个产品，但需要输出不同色温的白光，一种色温算一种；输出不同峰值比的混合光，一种峰值比算一种。</t>
    <phoneticPr fontId="40" type="noConversion"/>
  </si>
  <si>
    <t>取名力求简单明了，例如：暖白光、冷白光，5500K白光、6500K白光、NBI混合光、LCI混合光等。</t>
    <phoneticPr fontId="40" type="noConversion"/>
  </si>
  <si>
    <t>填写该项要求的典型值（测试点）与公差范围，
典型值如：415nm（模组输出/我司1M导光束输出），
公差示例：±5nm，+0/-5nm，+5/-0nm；公差可填“无要求”。</t>
    <phoneticPr fontId="40" type="noConversion"/>
  </si>
  <si>
    <t>填写该项要求的典型值（测试点）与公差范围，
典型值如：405nm（模组输出/我司1M导光束输出），
公差示例：±5nm，+0/-5nm，+5/-0nm；公差可填“无要求”。</t>
    <phoneticPr fontId="40" type="noConversion"/>
  </si>
  <si>
    <t>填写该项要求的典型值（测试点）与公差范围，
典型值如：20nm（模组输出/我司1M导光束输出），
公差示例：±5nm，+0/-5nm，+5/-0nm；典型值与公差可填“无要求”。</t>
    <phoneticPr fontId="40" type="noConversion"/>
  </si>
  <si>
    <t>填写该项要求的典型值（测试点）与公差范围，
典型值如：550lm（模组输出/我司1M导光束输出），
公差示例：±10%，+0/-10%，+10%/-0。</t>
    <phoneticPr fontId="40" type="noConversion"/>
  </si>
  <si>
    <t>填写该项要求的典型值（测试点）与公差范围，
典型值如：1000mW（模组输出/我司1M导光束输出），
公差示例：±10%，+0/-10%，+10%/-0。</t>
    <phoneticPr fontId="40" type="noConversion"/>
  </si>
  <si>
    <t>填写该项要求时，每一个值都应该对应一个测试点与工作距离，并注明公差，
如：10万Lux@距透镜顶点20mm平面所成光斑中心处，5万Lux@距导光束输出口25mm平面所成光斑中心处；
公差示例：±10%，+0/-10%，+10%/-0。</t>
    <phoneticPr fontId="40" type="noConversion"/>
  </si>
  <si>
    <t>填写该项要求时，每一个值都应该对应一个测试点、工作距离、角度，并注明公差，
如：100cd/m²@距透镜顶点20mm标准白板中心法线夹角0°；
公差示例：±10%，+0/-10%，+10%/-0。</t>
    <phoneticPr fontId="40" type="noConversion"/>
  </si>
  <si>
    <t>填写该项要求时，每一个值都应该对应一个测试点与工作距离，并注明公差，
如：100mW/cm²@距透镜顶点20mm平面所成光斑中心处，50mW/cm²@距导光束输出口25mm平面所成光斑中心处；
公差示例：±10%，+0/-10%，+10%/-0。</t>
    <phoneticPr fontId="40" type="noConversion"/>
  </si>
  <si>
    <t>填写该项要求时，每一个值都应该对应一个测试点与工作距离，并注明公差，
如：Φ100mm@距透镜顶点20mm平面处，20X50mm@距导光束输出口25mm平面处；
公差示例：±10mm，+0/-10mm，+10mm/-0。</t>
    <phoneticPr fontId="40"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</si>
  <si>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0" type="noConversion"/>
  </si>
  <si>
    <t>单位提示：mW/sr</t>
    <phoneticPr fontId="40" type="noConversion"/>
  </si>
  <si>
    <t>填写该项要求的典型值@测试点与公差范围，
典型值如：500cd@模组输出法线方向、500cd@我司1M导光束输出法线10°方向；
公差示例：±10%，+0/-10%，+10%/-0。</t>
    <phoneticPr fontId="40" type="noConversion"/>
  </si>
  <si>
    <t>填写该项要求的典型值@测试点与公差范围，
典型值如：500mW/sr@模组输出法线方向、500mW/sr@我司1M导光束输出法线10°方向；
公差示例：±10%，+0/-10%，+10%/-0。</t>
    <phoneticPr fontId="40" type="noConversion"/>
  </si>
  <si>
    <t>填写该项要求的典型值（测试点）与公差范围，注意光束全角指的是光强为法线光强的50%处、法线两边形成的夹角，
典型值如：50°（模组输出）、70°（客供导光束输出）；
公差示例：±5°，+0/-5°，+5°/-0。</t>
    <phoneticPr fontId="40" type="noConversion"/>
  </si>
  <si>
    <t>填写该项要求的典型值（测试点）与公差范围，注意光束全角指的是光强为法线光强的10%处、法线两边形成的夹角，
典型值如：50°（模组输出）、70°（客供导光束输出）；
公差示例：±5°，+0/-5°，+5°/-0。</t>
    <phoneticPr fontId="40" type="noConversion"/>
  </si>
  <si>
    <t>填写该项要求的典型值（测试点）与公差范围，
典型值如：5500K（模组输出），5000K（我司1M导光束输出）；
公差示例：±500K，+0/-500K，+500K/-0。</t>
    <phoneticPr fontId="40" type="noConversion"/>
  </si>
  <si>
    <t>光斑均匀性要求：[{K}：≥{V}]</t>
    <phoneticPr fontId="40" type="noConversion"/>
  </si>
  <si>
    <t>产品物料成本限制：≤{V}</t>
    <phoneticPr fontId="40" type="noConversion"/>
  </si>
  <si>
    <t>CRI显指Ra要求：[{K}≥{V}]</t>
    <phoneticPr fontId="40" type="noConversion"/>
  </si>
  <si>
    <t>CRI显指R9要求：[{K}≥{V}]</t>
    <phoneticPr fontId="40" type="noConversion"/>
  </si>
  <si>
    <t>填写该项要求的下限值（测试点），如：90（我司1M导光束输出）。</t>
    <phoneticPr fontId="40"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</si>
  <si>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0"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</si>
  <si>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0" type="noConversion"/>
  </si>
  <si>
    <t>填写该项要求的典型值（测试点）与公差范围，
典型值如：红:绿:蓝=1:0.5:0.3；
公差示例：±10%，+0/-10%，+10%/-0</t>
    <phoneticPr fontId="40" type="noConversion"/>
  </si>
  <si>
    <t>填写该项要求的典型值（测试点）与公差范围；推荐YY1081-2011标准默认公差±20%，
典型值如：0.75@模组输出、0.75@我司1M导光束输出；
公差示例：±20%。</t>
    <phoneticPr fontId="40" type="noConversion"/>
  </si>
  <si>
    <t>填写该项要求的典型值（测试点）与公差范围；推荐YY1081-2011标准默认公差±20%，
典型值如：1.25@模组输出、1.25@我司1M导光束输出；
公差示例：±20%。</t>
    <phoneticPr fontId="40" type="noConversion"/>
  </si>
  <si>
    <t>填写该项要求的上限值（测试点）；推荐YY1081-2011标准上限6mW/lm，
如：6mW/lm</t>
    <phoneticPr fontId="40" type="noConversion"/>
  </si>
  <si>
    <t>红外截止性能要求：[{K}≤{V}]</t>
    <phoneticPr fontId="40" type="noConversion"/>
  </si>
  <si>
    <t>填写该项要求的上限值，客户要求≤0.5则我司部分产品不满足，
如：1、0.8、0.525。</t>
    <phoneticPr fontId="40" type="noConversion"/>
  </si>
  <si>
    <t>光照均匀性要求：[{K}≤{V}]</t>
    <phoneticPr fontId="40" type="noConversion"/>
  </si>
  <si>
    <t>照度超限点要求：[{K}≤{V}]</t>
    <phoneticPr fontId="40" type="noConversion"/>
  </si>
  <si>
    <t>填写该项要求的上限值；推荐YY1081-2011标准上限值2，
如：2。</t>
    <phoneticPr fontId="40" type="noConversion"/>
  </si>
  <si>
    <t>填写客户要求的温度范围上下限，如-20℃~45℃。</t>
    <phoneticPr fontId="40" type="noConversion"/>
  </si>
  <si>
    <t>单位提示：dB(A)</t>
    <phoneticPr fontId="40" type="noConversion"/>
  </si>
  <si>
    <t>填写客户要求的噪声上限值，如55dB(A)。</t>
    <phoneticPr fontId="40" type="noConversion"/>
  </si>
  <si>
    <t>产品工作时外表面温度/温升上限：{V}</t>
    <phoneticPr fontId="40" type="noConversion"/>
  </si>
  <si>
    <t>填写客户要求的防护等级，如：IP65。</t>
    <phoneticPr fontId="40" type="noConversion"/>
  </si>
  <si>
    <t>填写产品重量上限值，如：20kg、200g。</t>
    <phoneticPr fontId="40" type="noConversion"/>
  </si>
  <si>
    <t>尽量与客户做清晰的约定，影响产品散热设计考虑，最终影响产品整体尺寸。</t>
    <phoneticPr fontId="40" type="noConversion"/>
  </si>
  <si>
    <t>尽量与客户做清晰的约定。</t>
    <phoneticPr fontId="40" type="noConversion"/>
  </si>
  <si>
    <t>尽量与客户做清晰的约定，过低的噪声上限将限制风扇转速，间接影响散热设计。</t>
    <phoneticPr fontId="40" type="noConversion"/>
  </si>
  <si>
    <t>产品长时间工作，外表面稳定住的温度或相对于环境温度的温度升幅，散热设计需要该指标。</t>
    <phoneticPr fontId="40" type="noConversion"/>
  </si>
  <si>
    <t>填写客户要求的外表面温度@环境温度或温升上限值，
如：+15℃，45℃@环境温度30℃。</t>
    <phoneticPr fontId="40" type="noConversion"/>
  </si>
  <si>
    <t>指防固体异物、液体进入的能力，即常说的防尘防水等级。</t>
    <phoneticPr fontId="40" type="noConversion"/>
  </si>
  <si>
    <t>选“是”则需要附图纸或图片说明，选“否”将由我司设计后提供图纸给客户。</t>
    <phoneticPr fontId="40" type="noConversion"/>
  </si>
  <si>
    <t>选“是”则需要附图纸或图片说明，选“否”将由我司自行决定风道设计，即进出风方向。</t>
    <phoneticPr fontId="40" type="noConversion"/>
  </si>
  <si>
    <t>我司默认产品颜色主要为黑色，部分参照老产品的外观颜色会是金色。</t>
    <phoneticPr fontId="40" type="noConversion"/>
  </si>
  <si>
    <t>颜色需客户提供色号或色样（实物样品），并限定色差范围，
提供色号直接填色号代码，提供色样填写“提供色样”，销售负责跟进色样给研发部。</t>
    <phoneticPr fontId="40" type="noConversion"/>
  </si>
  <si>
    <t>是否在产品外表或面板上物理呈现客户指定Logo，如：丝印、镭雕。</t>
    <phoneticPr fontId="40" type="noConversion"/>
  </si>
  <si>
    <t>请说明指定的Logo技术要求，包括位置、尺寸、设计图样、颜色、工艺等，可附文件说明。</t>
    <phoneticPr fontId="40" type="noConversion"/>
  </si>
  <si>
    <t>产品面板上通常有操作控制用的按钮、旋钮、接口，
这些部件下方通常需要一些提示内容或图标，客户是否指定。</t>
    <phoneticPr fontId="40" type="noConversion"/>
  </si>
  <si>
    <t>填写面板界面菜单内容与工艺技术要求，包括位置、尺寸、内容、设计图样、颜色、工艺等，可附文件说明。</t>
    <phoneticPr fontId="40" type="noConversion"/>
  </si>
  <si>
    <t>请详细说明指定的表面处理工艺要求，如：导电氧化、局部去氧化层。</t>
    <phoneticPr fontId="40" type="noConversion"/>
  </si>
  <si>
    <t>限制产品重量，则研发设计时将权衡零部件数量、材料选择、部件尺寸等，设计难度增加。</t>
    <phoneticPr fontId="40" type="noConversion"/>
  </si>
  <si>
    <t>灯头上携带的线材、驱动板输出的配线，我司有常规使用的连接器规格、线长与颜色，看客户是否作具体定制要求。</t>
    <phoneticPr fontId="40" type="noConversion"/>
  </si>
  <si>
    <t>是否指定散热器的类型、尺寸。数量？如：铝型材散热器、铜管散热器、压铸铝合金散热器等。</t>
    <phoneticPr fontId="40" type="noConversion"/>
  </si>
  <si>
    <t>填写客户指定的标签格式、内容、粘贴位置、材质、颜色、工艺等，可附图纸说明。</t>
    <phoneticPr fontId="40" type="noConversion"/>
  </si>
  <si>
    <t>是否限制产品工作时的功耗上限值，通常出现在客户整机系统功率分配已经计划好，且不好不愿调整。</t>
    <phoneticPr fontId="40" type="noConversion"/>
  </si>
  <si>
    <t>填写具体功耗上限值，如：200W。</t>
    <phoneticPr fontId="40" type="noConversion"/>
  </si>
  <si>
    <t>选“是”则需要附图纸或图片说明，选“否”则由我司自行设计后发图纸给客户确定。</t>
    <phoneticPr fontId="40" type="noConversion"/>
  </si>
  <si>
    <t>是否指定驱动板使用某种类型的接口、某个特定的接口型号规格？</t>
    <phoneticPr fontId="40" type="noConversion"/>
  </si>
  <si>
    <t>填写客户以太网技术要求，如：IP地址分配、通讯端口、协议类型等，
或填"无"，或提交详细说明文档。</t>
    <phoneticPr fontId="40" type="noConversion"/>
  </si>
  <si>
    <t>填写客户CAN技术要求，如：波特率(250kbps/500kbps)、协议层、终端电阻等，
或填"无"，或提交详细说明文档。</t>
    <phoneticPr fontId="40" type="noConversion"/>
  </si>
  <si>
    <t>填写客户电位器调光技术要求，如：信号类型(0~5V/0~10V/4~20mA)、
对应关系(正反逻辑)等，或填"无"，或提交详细说明文档。</t>
    <phoneticPr fontId="40" type="noConversion"/>
  </si>
  <si>
    <t>填写客户提出的其它串口通讯技术要求，如：接口定义、数据格式、隔离要求等，
或填"无"，或提交详细说明文档。</t>
    <phoneticPr fontId="40" type="noConversion"/>
  </si>
  <si>
    <t>填写客户PWM调光技术要求，如：电平标准、有效极性、频率、占空比、触发边缘等，
或填"无"，或提交详细说明文档。</t>
    <phoneticPr fontId="40" type="noConversion"/>
  </si>
  <si>
    <t>填写客户外部触发技术要求，如：电平标准、有效极性、频率、占空比、触发边缘等，
或填"无"，或提交详细说明文档。</t>
    <phoneticPr fontId="40" type="noConversion"/>
  </si>
  <si>
    <t>填写客户IIC模式技术要求，如：电平电压、地址、上拉电阻、速率等，或填"无"，
或提交详细说明文档。</t>
    <phoneticPr fontId="40" type="noConversion"/>
  </si>
  <si>
    <t>填写客户SPI模式技术要求，如：模式、信号线数量、驱动能力等，或填"无"，或提交详细说明文档。</t>
    <phoneticPr fontId="40" type="noConversion"/>
  </si>
  <si>
    <t>填写客户按键开关/踏板模式技术要求，
如：触点逻辑(常开/常闭)、动作类型(点动复位/自锁)、选型规格等，或填"无"，或提交详细说明文档。</t>
    <phoneticPr fontId="40" type="noConversion"/>
  </si>
  <si>
    <t>填写客户编码器技术要求，
如：编码器类型(增量式/绝对值)、分辨率(脉冲数)、输出电路形式(集电极开路/推挽输出/差分驱动)、是否带开关按键等，
或填"无"，或提交详细说明文档。</t>
    <phoneticPr fontId="40" type="noConversion"/>
  </si>
  <si>
    <t>填写触控屏技术要求，如：触摸类型(电容屏/电阻屏)、显示接口、通信接口、选型规格等，
或填"无"，或提交详细说明文档。</t>
    <phoneticPr fontId="40" type="noConversion"/>
  </si>
  <si>
    <t>详细说明产品状态显示/UI设计要求与逻辑要求。必要时附上说明文档。</t>
    <phoneticPr fontId="40" type="noConversion"/>
  </si>
  <si>
    <t>批量供货是否需要包含显示类配件，还是客户自备，如：指示灯、显示屏等等。</t>
    <phoneticPr fontId="40" type="noConversion"/>
  </si>
  <si>
    <t>是否在批量供货时提供电源或信号等输入配线、还是客户自备。</t>
    <phoneticPr fontId="40" type="noConversion"/>
  </si>
  <si>
    <t>填写具体调光范围要求，如：5%~100%。</t>
    <phoneticPr fontId="40" type="noConversion"/>
  </si>
  <si>
    <t>填写具体调光步距要求，如：1%。</t>
    <phoneticPr fontId="40" type="noConversion"/>
  </si>
  <si>
    <t>填写具体校正逻辑功能要求，说明校正场景。</t>
    <phoneticPr fontId="40" type="noConversion"/>
  </si>
  <si>
    <t>选择校正功能是以只提供软件系统的方式交付，异或还需要制作配套治具一并交付。</t>
    <phoneticPr fontId="40" type="noConversion"/>
  </si>
  <si>
    <t>是否要求产品具备频闪/脉冲形式的输出功能？</t>
    <phoneticPr fontId="40" type="noConversion"/>
  </si>
  <si>
    <t>具体认证测试启动由销售发起，研发部负责技术判断与草稿审核，采购负责跟进获证。</t>
    <phoneticPr fontId="40" type="noConversion"/>
  </si>
  <si>
    <t>在产品ESD(静电放电)方面，客户有没有要求，ESD要求产品按照特定速率释放静电，
产品如果是金属外壳，则需要喷涂半导涂层，塑料外壳则需要使用半导特性的塑料；成本均比普通产品高。</t>
    <phoneticPr fontId="40" type="noConversion"/>
  </si>
  <si>
    <t>被动散热</t>
    <phoneticPr fontId="40" type="noConversion"/>
  </si>
  <si>
    <t>主动散热</t>
    <phoneticPr fontId="40" type="noConversion"/>
  </si>
  <si>
    <t>产品能否使用主动散热</t>
    <phoneticPr fontId="40" type="noConversion"/>
  </si>
  <si>
    <t>被动散热</t>
    <phoneticPr fontId="40"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</si>
  <si>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0" type="noConversion"/>
  </si>
  <si>
    <t>产品可使用{V}方案</t>
    <phoneticPr fontId="40" type="noConversion"/>
  </si>
  <si>
    <t>产品只能用{V}方案</t>
    <phoneticPr fontId="40" type="noConversion"/>
  </si>
  <si>
    <t>产品需要输出哪些组合光模式</t>
    <phoneticPr fontId="40" type="noConversion"/>
  </si>
  <si>
    <t>产品输出组合光有：{V}</t>
    <phoneticPr fontId="40" type="noConversion"/>
  </si>
  <si>
    <t>填写产品工作时，需要输出的光有哪些组合模式，仅列明组合模式即可，光路设计上将考虑是否可实现；
如：白+785nm，白+415nm，R+G+B。</t>
    <phoneticPr fontId="40" type="noConversion"/>
  </si>
  <si>
    <t>导光束/光纤由{V}自备</t>
    <phoneticPr fontId="40" type="noConversion"/>
  </si>
  <si>
    <t>导光束/光纤外形尺寸信息/需求：{V}</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</si>
</sst>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3">
    <xf numFmtId="0" fontId="0" fillId="0" borderId="0" xfId="0"/>
    <xf numFmtId="0" fontId="0" fillId="0" borderId="0" xfId="0" applyAlignment="1">
      <alignment horizontal="center" vertical="center"/>
    </xf>
    <xf numFmtId="0" fontId="3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Font="1" applyAlignment="1">
      <alignment horizontal="center" vertical="center" wrapText="1"/>
    </xf>
    <xf numFmtId="49" fontId="29"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6" fillId="0" borderId="0" xfId="0" applyFont="1" applyAlignment="1">
      <alignment horizontal="center" vertical="center" wrapText="1"/>
    </xf>
    <xf numFmtId="0" fontId="31" fillId="0" borderId="0" xfId="0" applyFont="1" applyAlignment="1">
      <alignment horizontal="center" vertical="center" wrapText="1"/>
    </xf>
    <xf numFmtId="0" fontId="29" fillId="0" borderId="0" xfId="0" applyFont="1" applyAlignment="1">
      <alignment horizontal="left" vertical="center" wrapText="1"/>
    </xf>
    <xf numFmtId="0" fontId="41" fillId="0" borderId="0" xfId="0" applyFont="1" applyAlignment="1">
      <alignment horizontal="left" vertical="center" wrapText="1"/>
    </xf>
    <xf numFmtId="0" fontId="29" fillId="0" borderId="0" xfId="0" applyFont="1" applyAlignment="1">
      <alignment horizontal="center" vertical="center" wrapText="1"/>
    </xf>
    <xf numFmtId="49" fontId="35"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8" fillId="0" borderId="0" xfId="0" applyFont="1" applyAlignment="1">
      <alignment horizontal="left"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49" fontId="30" fillId="0" borderId="0" xfId="0" applyNumberFormat="1"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7" fillId="0" borderId="0" xfId="0" applyFont="1" applyAlignment="1">
      <alignment horizontal="center" vertical="center" wrapText="1"/>
    </xf>
    <xf numFmtId="0" fontId="34" fillId="0" borderId="0" xfId="0" applyFont="1" applyAlignment="1">
      <alignment horizontal="left" vertical="center" wrapText="1"/>
    </xf>
    <xf numFmtId="0" fontId="39"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NumberFormat="1" applyFont="1" applyAlignment="1">
      <alignment horizontal="center"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21" fillId="0" borderId="0" xfId="0" applyNumberFormat="1" applyFont="1" applyFill="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I37" activePane="bottomRight" state="frozen"/>
      <selection pane="topRight" activeCell="F1" sqref="F1"/>
      <selection pane="bottomLeft" activeCell="A2" sqref="A2"/>
      <selection pane="bottomRight" activeCell="K41" sqref="K41"/>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803</v>
      </c>
      <c r="I1" s="7" t="s">
        <v>51</v>
      </c>
      <c r="J1" s="52" t="s">
        <v>395</v>
      </c>
      <c r="K1" s="51" t="s">
        <v>394</v>
      </c>
      <c r="L1" s="72" t="s">
        <v>353</v>
      </c>
      <c r="M1" s="42" t="s">
        <v>356</v>
      </c>
      <c r="N1" s="5" t="s">
        <v>16</v>
      </c>
      <c r="O1" s="8" t="s">
        <v>128</v>
      </c>
      <c r="P1" s="8" t="s">
        <v>127</v>
      </c>
      <c r="Q1" s="9" t="s">
        <v>125</v>
      </c>
      <c r="R1" s="10" t="s">
        <v>124</v>
      </c>
      <c r="S1" s="77" t="s">
        <v>783</v>
      </c>
      <c r="T1" s="93" t="s">
        <v>906</v>
      </c>
    </row>
    <row r="2" spans="1:20" ht="31.2">
      <c r="A2" s="3">
        <v>1</v>
      </c>
      <c r="B2" s="3">
        <f>A2</f>
        <v>1</v>
      </c>
      <c r="C2" s="90" t="s">
        <v>902</v>
      </c>
      <c r="D2" s="4" t="s">
        <v>764</v>
      </c>
      <c r="E2" s="5" t="s">
        <v>5</v>
      </c>
      <c r="F2" s="46" t="s">
        <v>135</v>
      </c>
      <c r="G2" s="73" t="s">
        <v>625</v>
      </c>
      <c r="H2" s="80">
        <v>1</v>
      </c>
      <c r="I2" s="73" t="s">
        <v>765</v>
      </c>
      <c r="J2" s="73" t="s">
        <v>768</v>
      </c>
      <c r="K2" s="74" t="s">
        <v>771</v>
      </c>
      <c r="L2" s="42" t="s">
        <v>354</v>
      </c>
      <c r="M2" s="42" t="s">
        <v>355</v>
      </c>
      <c r="R2" s="97" t="s">
        <v>921</v>
      </c>
    </row>
    <row r="3" spans="1:20">
      <c r="A3" s="3" cm="1">
        <f t="array" aca="1" ref="A3" ca="1">INDIRECT("A"&amp;ROW()-1)</f>
        <v>1</v>
      </c>
      <c r="B3" s="3" t="s">
        <v>901</v>
      </c>
      <c r="F3" s="46" t="s">
        <v>135</v>
      </c>
      <c r="G3" s="73" t="s">
        <v>773</v>
      </c>
      <c r="H3" s="80">
        <v>2</v>
      </c>
      <c r="I3" s="73" t="s">
        <v>766</v>
      </c>
      <c r="J3" s="73" t="s">
        <v>766</v>
      </c>
      <c r="K3" s="74" t="s">
        <v>772</v>
      </c>
      <c r="L3" s="42"/>
      <c r="M3" s="42"/>
      <c r="N3" s="74" t="s">
        <v>769</v>
      </c>
    </row>
    <row r="4" spans="1:20">
      <c r="A4" s="3" cm="1">
        <f t="array" aca="1" ref="A4" ca="1">INDIRECT("A"&amp;ROW()-1)</f>
        <v>1</v>
      </c>
      <c r="B4" s="3" t="s">
        <v>901</v>
      </c>
      <c r="F4" s="55" t="str">
        <f>F2</f>
        <v>FALSE</v>
      </c>
      <c r="G4" s="73" t="s">
        <v>774</v>
      </c>
      <c r="H4" s="80">
        <v>3</v>
      </c>
      <c r="I4" s="73" t="s">
        <v>767</v>
      </c>
      <c r="J4" s="73" t="s">
        <v>767</v>
      </c>
      <c r="K4" s="74" t="s">
        <v>775</v>
      </c>
      <c r="L4" s="42"/>
      <c r="M4" s="42"/>
      <c r="N4" s="74" t="s">
        <v>770</v>
      </c>
    </row>
    <row r="5" spans="1:20">
      <c r="A5" s="3" cm="1">
        <f t="array" aca="1" ref="A5" ca="1">INDIRECT("A"&amp;ROW()-1)+1</f>
        <v>2</v>
      </c>
      <c r="B5" s="3">
        <v>2</v>
      </c>
      <c r="C5" s="75" t="str">
        <f>A2&amp;"==代工"</f>
        <v>1==代工</v>
      </c>
      <c r="D5" s="4" t="s">
        <v>776</v>
      </c>
      <c r="E5" s="68" t="s">
        <v>129</v>
      </c>
      <c r="F5" s="20" t="b">
        <v>0</v>
      </c>
      <c r="H5" s="80">
        <v>1</v>
      </c>
      <c r="I5" s="15" t="s">
        <v>130</v>
      </c>
      <c r="J5" s="15"/>
      <c r="K5" s="74" t="s">
        <v>777</v>
      </c>
      <c r="L5" s="44" t="str">
        <f>L2</f>
        <v>1</v>
      </c>
      <c r="M5" s="75" t="s">
        <v>355</v>
      </c>
      <c r="O5" s="16"/>
      <c r="P5" s="8"/>
      <c r="Q5" s="68"/>
      <c r="R5" s="97" t="s">
        <v>916</v>
      </c>
    </row>
    <row r="6" spans="1:20">
      <c r="A6" s="3" cm="1">
        <f t="array" aca="1" ref="A6" ca="1">INDIRECT("A"&amp;ROW()-1)+1</f>
        <v>3</v>
      </c>
      <c r="B6" s="3">
        <v>3</v>
      </c>
      <c r="C6" s="3" t="str">
        <f>A2&amp;"==代工"</f>
        <v>1==代工</v>
      </c>
      <c r="D6" s="4" t="s">
        <v>778</v>
      </c>
      <c r="E6" s="25" t="s">
        <v>147</v>
      </c>
      <c r="F6" s="56" t="s">
        <v>135</v>
      </c>
      <c r="H6" s="80">
        <v>1</v>
      </c>
      <c r="I6" s="15" t="s">
        <v>130</v>
      </c>
      <c r="J6" s="15"/>
      <c r="K6" s="74" t="s">
        <v>779</v>
      </c>
      <c r="L6" s="44" t="str">
        <f>L5</f>
        <v>1</v>
      </c>
      <c r="M6" s="42" t="s">
        <v>355</v>
      </c>
      <c r="O6" s="16">
        <f ca="1">A5</f>
        <v>2</v>
      </c>
      <c r="P6" s="16"/>
      <c r="Q6" s="9"/>
      <c r="R6" s="97" t="s">
        <v>780</v>
      </c>
    </row>
    <row r="7" spans="1:20">
      <c r="A7" s="3" cm="1">
        <f t="array" aca="1" ref="A7" ca="1">INDIRECT("A"&amp;ROW()-1)+1</f>
        <v>4</v>
      </c>
      <c r="B7" s="3">
        <v>4</v>
      </c>
      <c r="C7" s="3" t="str">
        <f>A2&amp;"==代工"</f>
        <v>1==代工</v>
      </c>
      <c r="D7" s="4" t="s">
        <v>781</v>
      </c>
      <c r="E7" s="11" t="s">
        <v>148</v>
      </c>
      <c r="F7" s="45" t="s">
        <v>126</v>
      </c>
      <c r="H7" s="80">
        <v>1</v>
      </c>
      <c r="I7" s="15" t="s">
        <v>130</v>
      </c>
      <c r="J7" s="15"/>
      <c r="K7" s="77" t="s">
        <v>782</v>
      </c>
      <c r="L7" s="44" t="str">
        <f>L5</f>
        <v>1</v>
      </c>
      <c r="M7" s="71" t="s">
        <v>355</v>
      </c>
      <c r="O7" s="16">
        <f ca="1">A5</f>
        <v>2</v>
      </c>
      <c r="P7" s="8">
        <f ca="1">A6</f>
        <v>3</v>
      </c>
      <c r="Q7" s="9"/>
      <c r="R7" s="97" t="s">
        <v>917</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901</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620</v>
      </c>
      <c r="E10" s="5" t="s">
        <v>5</v>
      </c>
      <c r="F10" s="45" t="s">
        <v>126</v>
      </c>
      <c r="G10" s="68" t="s">
        <v>621</v>
      </c>
      <c r="H10" s="80">
        <v>1</v>
      </c>
      <c r="I10" s="7" t="b">
        <v>1</v>
      </c>
      <c r="J10" s="91" t="s">
        <v>622</v>
      </c>
      <c r="K10" s="96" t="s">
        <v>919</v>
      </c>
      <c r="L10" s="42" t="str">
        <f>L2</f>
        <v>1</v>
      </c>
      <c r="M10" s="42" t="s">
        <v>355</v>
      </c>
      <c r="R10" s="97" t="s">
        <v>918</v>
      </c>
    </row>
    <row r="11" spans="1:20">
      <c r="A11" s="3" cm="1">
        <f t="array" aca="1" ref="A11" ca="1">INDIRECT("A"&amp;ROW()-1)</f>
        <v>6</v>
      </c>
      <c r="B11" s="3" t="s">
        <v>901</v>
      </c>
      <c r="F11" s="55" t="str">
        <f>F10</f>
        <v>TRUE</v>
      </c>
      <c r="G11" s="68" t="s">
        <v>567</v>
      </c>
      <c r="H11" s="80">
        <v>2</v>
      </c>
      <c r="I11" s="7" t="b">
        <v>0</v>
      </c>
      <c r="J11" s="68" t="s">
        <v>567</v>
      </c>
      <c r="K11" s="96" t="s">
        <v>919</v>
      </c>
      <c r="L11" s="42"/>
      <c r="M11" s="42"/>
    </row>
    <row r="12" spans="1:20">
      <c r="A12" s="3" cm="1">
        <f t="array" aca="1" ref="A12" ca="1">INDIRECT("A"&amp;ROW()-1)+1</f>
        <v>7</v>
      </c>
      <c r="B12" s="3">
        <v>7</v>
      </c>
      <c r="C12" s="3" t="str">
        <f>A2&amp;"!=代工"</f>
        <v>1!=代工</v>
      </c>
      <c r="D12" s="4" t="s">
        <v>10</v>
      </c>
      <c r="E12" s="5" t="s">
        <v>6</v>
      </c>
      <c r="F12" s="54" t="s">
        <v>135</v>
      </c>
      <c r="G12" s="82" t="s">
        <v>614</v>
      </c>
      <c r="H12" s="80">
        <v>1</v>
      </c>
      <c r="I12" s="68" t="s">
        <v>614</v>
      </c>
      <c r="J12" s="68" t="s">
        <v>614</v>
      </c>
      <c r="K12" s="32" t="s">
        <v>292</v>
      </c>
      <c r="L12" s="42" t="str">
        <f>L2</f>
        <v>1</v>
      </c>
      <c r="M12" s="42" t="s">
        <v>355</v>
      </c>
      <c r="N12" s="7"/>
      <c r="R12" s="97" t="s">
        <v>920</v>
      </c>
    </row>
    <row r="13" spans="1:20">
      <c r="A13" s="3" cm="1">
        <f t="array" aca="1" ref="A13" ca="1">INDIRECT("A"&amp;ROW()-1)</f>
        <v>7</v>
      </c>
      <c r="B13" s="3" t="s">
        <v>901</v>
      </c>
      <c r="F13" s="55" t="str">
        <f>F12</f>
        <v>FALSE</v>
      </c>
      <c r="G13" s="86" t="s">
        <v>829</v>
      </c>
      <c r="H13" s="80">
        <v>2</v>
      </c>
      <c r="I13" s="7" t="s">
        <v>55</v>
      </c>
      <c r="J13" s="7" t="s">
        <v>55</v>
      </c>
      <c r="N13" s="7"/>
    </row>
    <row r="14" spans="1:20">
      <c r="A14" s="3" cm="1">
        <f t="array" aca="1" ref="A14" ca="1">INDIRECT("A"&amp;ROW()-1)</f>
        <v>7</v>
      </c>
      <c r="B14" s="3" t="s">
        <v>901</v>
      </c>
      <c r="F14" s="55" t="str">
        <f>F13</f>
        <v>FALSE</v>
      </c>
      <c r="G14" s="68" t="s">
        <v>11</v>
      </c>
      <c r="H14" s="80">
        <v>3</v>
      </c>
      <c r="I14" s="7" t="s">
        <v>54</v>
      </c>
      <c r="J14" s="7" t="s">
        <v>54</v>
      </c>
      <c r="N14" s="7"/>
    </row>
    <row r="15" spans="1:20">
      <c r="A15" s="3" cm="1">
        <f t="array" aca="1" ref="A15" ca="1">INDIRECT("A"&amp;ROW()-1)</f>
        <v>7</v>
      </c>
      <c r="B15" s="3" t="s">
        <v>901</v>
      </c>
      <c r="F15" s="55" t="str">
        <f>F14</f>
        <v>FALSE</v>
      </c>
      <c r="G15" s="82" t="s">
        <v>613</v>
      </c>
      <c r="H15" s="80">
        <v>4</v>
      </c>
      <c r="I15" s="7" t="s">
        <v>52</v>
      </c>
      <c r="J15" s="7" t="s">
        <v>52</v>
      </c>
      <c r="N15" s="7"/>
    </row>
    <row r="16" spans="1:20">
      <c r="A16" s="3" cm="1">
        <f t="array" aca="1" ref="A16" ca="1">INDIRECT("A"&amp;ROW()-1)</f>
        <v>7</v>
      </c>
      <c r="B16" s="3" t="s">
        <v>901</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840</v>
      </c>
      <c r="E17" s="11" t="s">
        <v>148</v>
      </c>
      <c r="F17" s="45" t="s">
        <v>126</v>
      </c>
      <c r="H17" s="80">
        <v>1</v>
      </c>
      <c r="I17" s="15" t="s">
        <v>130</v>
      </c>
      <c r="J17" s="15"/>
      <c r="K17" s="88" t="s">
        <v>841</v>
      </c>
      <c r="L17" s="44" t="str">
        <f>L2</f>
        <v>1</v>
      </c>
      <c r="M17" s="71" t="s">
        <v>355</v>
      </c>
      <c r="O17" s="16"/>
      <c r="P17" s="8"/>
      <c r="Q17" s="9"/>
      <c r="R17" s="97" t="s">
        <v>842</v>
      </c>
    </row>
    <row r="18" spans="1:19" ht="31.2">
      <c r="A18" s="3" cm="1">
        <f t="array" aca="1" ref="A18" ca="1">INDIRECT("A"&amp;ROW()-1)+1</f>
        <v>9</v>
      </c>
      <c r="B18" s="3">
        <v>9</v>
      </c>
      <c r="C18" s="3" t="str">
        <f ca="1">A8&amp;"==模组 and "&amp;A12&amp;"any['结构']"</f>
        <v>5==模组 and 7any['结构']</v>
      </c>
      <c r="D18" s="4" t="s">
        <v>831</v>
      </c>
      <c r="E18" s="5" t="s">
        <v>5</v>
      </c>
      <c r="F18" s="45" t="s">
        <v>126</v>
      </c>
      <c r="G18" s="86" t="s">
        <v>832</v>
      </c>
      <c r="H18" s="80">
        <v>1</v>
      </c>
      <c r="I18" s="7" t="b">
        <v>1</v>
      </c>
      <c r="J18" s="86" t="s">
        <v>832</v>
      </c>
      <c r="K18" s="88" t="s">
        <v>834</v>
      </c>
      <c r="L18" s="42" t="str">
        <f>L2</f>
        <v>1</v>
      </c>
      <c r="M18" s="42" t="s">
        <v>355</v>
      </c>
      <c r="N18" s="70" t="s">
        <v>667</v>
      </c>
      <c r="R18" s="97" t="s">
        <v>922</v>
      </c>
    </row>
    <row r="19" spans="1:19">
      <c r="A19" s="3" cm="1">
        <f t="array" aca="1" ref="A19" ca="1">INDIRECT("A"&amp;ROW()-1)</f>
        <v>9</v>
      </c>
      <c r="B19" s="3" t="s">
        <v>901</v>
      </c>
      <c r="F19" s="55" t="str">
        <f>F18</f>
        <v>TRUE</v>
      </c>
      <c r="G19" s="86" t="s">
        <v>833</v>
      </c>
      <c r="H19" s="80">
        <v>2</v>
      </c>
      <c r="I19" s="7" t="b">
        <v>0</v>
      </c>
      <c r="J19" s="86" t="s">
        <v>833</v>
      </c>
      <c r="K19" s="88" t="s">
        <v>834</v>
      </c>
      <c r="L19" s="42"/>
      <c r="M19" s="42"/>
      <c r="N19" s="70" t="s">
        <v>668</v>
      </c>
    </row>
    <row r="20" spans="1:19" ht="46.8">
      <c r="A20" s="3" cm="1">
        <f t="array" aca="1" ref="A20" ca="1">INDIRECT("A"&amp;ROW()-1)+1</f>
        <v>10</v>
      </c>
      <c r="B20" s="3">
        <v>10</v>
      </c>
      <c r="C20" s="3" t="str">
        <f ca="1">A14&amp;"any['结构','光学']"</f>
        <v>7any['结构','光学']</v>
      </c>
      <c r="D20" s="4" t="s">
        <v>863</v>
      </c>
      <c r="E20" s="11" t="s">
        <v>148</v>
      </c>
      <c r="F20" s="45" t="s">
        <v>126</v>
      </c>
      <c r="H20" s="80">
        <v>1</v>
      </c>
      <c r="I20" s="15" t="s">
        <v>130</v>
      </c>
      <c r="J20" s="15"/>
      <c r="K20" s="70" t="s">
        <v>694</v>
      </c>
      <c r="L20" s="44" t="str">
        <f>L2</f>
        <v>1</v>
      </c>
      <c r="M20" s="71" t="s">
        <v>355</v>
      </c>
      <c r="O20" s="16"/>
      <c r="P20" s="8"/>
      <c r="Q20" s="9"/>
      <c r="R20" s="97" t="s">
        <v>923</v>
      </c>
    </row>
    <row r="21" spans="1:19" ht="31.2">
      <c r="A21" s="3" cm="1">
        <f t="array" aca="1" ref="A21" ca="1">INDIRECT("A"&amp;ROW()-1)+1</f>
        <v>11</v>
      </c>
      <c r="B21" s="3">
        <v>11</v>
      </c>
      <c r="C21" s="71" t="str">
        <f>A2&amp;"!=代工"</f>
        <v>1!=代工</v>
      </c>
      <c r="D21" s="4" t="s">
        <v>696</v>
      </c>
      <c r="E21" s="86" t="s">
        <v>149</v>
      </c>
      <c r="F21" s="20" t="b">
        <v>0</v>
      </c>
      <c r="H21" s="80">
        <v>1</v>
      </c>
      <c r="I21" s="15" t="s">
        <v>130</v>
      </c>
      <c r="J21" s="15"/>
      <c r="K21" s="96" t="s">
        <v>974</v>
      </c>
      <c r="L21" s="44" t="str">
        <f>L2</f>
        <v>1</v>
      </c>
      <c r="M21" s="71" t="s">
        <v>695</v>
      </c>
      <c r="O21" s="16"/>
      <c r="P21" s="8"/>
      <c r="Q21" s="68" t="s">
        <v>697</v>
      </c>
      <c r="R21" s="87" t="s">
        <v>830</v>
      </c>
      <c r="S21" s="88" t="s">
        <v>864</v>
      </c>
    </row>
    <row r="22" spans="1:19" ht="31.2">
      <c r="A22" s="3" cm="1">
        <f t="array" aca="1" ref="A22" ca="1">INDIRECT("A"&amp;ROW()-1)+1</f>
        <v>12</v>
      </c>
      <c r="B22" s="3">
        <v>12</v>
      </c>
      <c r="C22" s="3" t="str">
        <f ca="1">A18&amp;"==True or "&amp;A8&amp;"==整机"</f>
        <v>9==True or 5==整机</v>
      </c>
      <c r="D22" s="4" t="s">
        <v>669</v>
      </c>
      <c r="E22" s="11" t="s">
        <v>148</v>
      </c>
      <c r="F22" s="45" t="s">
        <v>126</v>
      </c>
      <c r="H22" s="80">
        <v>1</v>
      </c>
      <c r="I22" s="15" t="s">
        <v>130</v>
      </c>
      <c r="J22" s="15"/>
      <c r="K22" s="70" t="s">
        <v>670</v>
      </c>
      <c r="L22" s="44" t="str">
        <f>L18</f>
        <v>1</v>
      </c>
      <c r="M22" s="66" t="s">
        <v>359</v>
      </c>
      <c r="O22" s="16"/>
      <c r="P22" s="8"/>
      <c r="Q22" s="9"/>
      <c r="R22" s="97" t="s">
        <v>924</v>
      </c>
    </row>
    <row r="23" spans="1:19" ht="31.2">
      <c r="A23" s="3" cm="1">
        <f t="array" aca="1" ref="A23" ca="1">INDIRECT("A"&amp;ROW()-1)+1</f>
        <v>13</v>
      </c>
      <c r="B23" s="3">
        <v>13</v>
      </c>
      <c r="C23" s="3" t="str">
        <f ca="1">A8&amp;"==模组 and "&amp;A12&amp;"any['硬件']"</f>
        <v>5==模组 and 7any['硬件']</v>
      </c>
      <c r="D23" s="4" t="s">
        <v>582</v>
      </c>
      <c r="E23" s="5" t="s">
        <v>5</v>
      </c>
      <c r="F23" s="56" t="s">
        <v>135</v>
      </c>
      <c r="G23" s="68" t="s">
        <v>584</v>
      </c>
      <c r="H23" s="80">
        <v>1</v>
      </c>
      <c r="I23" s="68" t="s">
        <v>585</v>
      </c>
      <c r="J23" s="68" t="s">
        <v>585</v>
      </c>
      <c r="K23" s="70" t="s">
        <v>588</v>
      </c>
      <c r="L23" s="42" t="str">
        <f>L2</f>
        <v>1</v>
      </c>
      <c r="M23" s="42" t="s">
        <v>355</v>
      </c>
      <c r="N23" s="68" t="s">
        <v>584</v>
      </c>
      <c r="R23" s="97" t="s">
        <v>591</v>
      </c>
    </row>
    <row r="24" spans="1:19">
      <c r="A24" s="3" cm="1">
        <f t="array" aca="1" ref="A24" ca="1">INDIRECT("A"&amp;ROW()-1)</f>
        <v>13</v>
      </c>
      <c r="B24" s="3" t="s">
        <v>901</v>
      </c>
      <c r="F24" s="56"/>
      <c r="G24" s="70" t="s">
        <v>587</v>
      </c>
      <c r="H24" s="80">
        <v>2</v>
      </c>
      <c r="I24" s="68" t="s">
        <v>586</v>
      </c>
      <c r="J24" s="68" t="s">
        <v>586</v>
      </c>
      <c r="K24" s="70" t="s">
        <v>588</v>
      </c>
      <c r="L24" s="42"/>
      <c r="M24" s="42"/>
      <c r="N24" s="70" t="s">
        <v>587</v>
      </c>
      <c r="R24" s="12"/>
    </row>
    <row r="25" spans="1:19">
      <c r="A25" s="3" cm="1">
        <f t="array" aca="1" ref="A25" ca="1">INDIRECT("A"&amp;ROW()-1)</f>
        <v>13</v>
      </c>
      <c r="B25" s="3" t="s">
        <v>901</v>
      </c>
      <c r="F25" s="55" t="str">
        <f>F23</f>
        <v>FALSE</v>
      </c>
      <c r="G25" s="68" t="s">
        <v>589</v>
      </c>
      <c r="H25" s="80">
        <v>3</v>
      </c>
      <c r="I25" s="68" t="s">
        <v>590</v>
      </c>
      <c r="J25" s="68" t="s">
        <v>590</v>
      </c>
      <c r="K25" s="70" t="s">
        <v>588</v>
      </c>
      <c r="L25" s="31"/>
      <c r="M25" s="31"/>
      <c r="N25" s="68" t="s">
        <v>583</v>
      </c>
    </row>
    <row r="26" spans="1:19">
      <c r="A26" s="3" cm="1">
        <f t="array" aca="1" ref="A26" ca="1">INDIRECT("A"&amp;ROW()-1)+1</f>
        <v>14</v>
      </c>
      <c r="B26" s="3">
        <v>14</v>
      </c>
      <c r="C26" s="3" t="str">
        <f ca="1">A12&amp;"any['光学','结构']"</f>
        <v>7any['光学','结构']</v>
      </c>
      <c r="D26" s="4" t="s">
        <v>867</v>
      </c>
      <c r="E26" s="5" t="s">
        <v>5</v>
      </c>
      <c r="F26" s="56" t="s">
        <v>135</v>
      </c>
      <c r="G26" s="5" t="s">
        <v>1</v>
      </c>
      <c r="H26" s="80">
        <v>1</v>
      </c>
      <c r="I26" s="7" t="b">
        <v>1</v>
      </c>
      <c r="J26" s="33" t="s">
        <v>265</v>
      </c>
      <c r="K26" s="88" t="s">
        <v>874</v>
      </c>
      <c r="L26" s="42">
        <v>2</v>
      </c>
      <c r="M26" s="42" t="s">
        <v>355</v>
      </c>
      <c r="N26" s="51" t="s">
        <v>483</v>
      </c>
      <c r="R26" s="97" t="s">
        <v>925</v>
      </c>
    </row>
    <row r="27" spans="1:19">
      <c r="A27" s="3" cm="1">
        <f t="array" aca="1" ref="A27" ca="1">INDIRECT("A"&amp;ROW()-1)</f>
        <v>14</v>
      </c>
      <c r="B27" s="3" t="s">
        <v>901</v>
      </c>
      <c r="F27" s="55" t="str">
        <f t="shared" ref="F27:F45" si="0">F26</f>
        <v>FALSE</v>
      </c>
      <c r="G27" s="5" t="s">
        <v>2</v>
      </c>
      <c r="H27" s="80">
        <v>2</v>
      </c>
      <c r="I27" s="7" t="b">
        <v>0</v>
      </c>
      <c r="J27" s="33" t="s">
        <v>266</v>
      </c>
      <c r="K27" s="88" t="s">
        <v>874</v>
      </c>
      <c r="L27" s="31"/>
      <c r="M27" s="31"/>
      <c r="N27" s="38" t="s">
        <v>349</v>
      </c>
    </row>
    <row r="28" spans="1:19" ht="31.2">
      <c r="A28" s="3" cm="1">
        <f t="array" aca="1" ref="A28" ca="1">INDIRECT("A"&amp;ROW()-1)+1</f>
        <v>15</v>
      </c>
      <c r="B28" s="3">
        <v>15</v>
      </c>
      <c r="C28" s="3" t="str">
        <f ca="1">A26&amp;"==True"</f>
        <v>14==True</v>
      </c>
      <c r="D28" s="4" t="s">
        <v>868</v>
      </c>
      <c r="E28" s="5" t="s">
        <v>5</v>
      </c>
      <c r="F28" s="54" t="s">
        <v>126</v>
      </c>
      <c r="G28" s="86" t="s">
        <v>47</v>
      </c>
      <c r="H28" s="80">
        <v>1</v>
      </c>
      <c r="I28" s="6" t="s">
        <v>155</v>
      </c>
      <c r="J28" s="5" t="s">
        <v>47</v>
      </c>
      <c r="K28" s="88" t="s">
        <v>875</v>
      </c>
      <c r="L28" s="42">
        <f>L26</f>
        <v>2</v>
      </c>
      <c r="M28" s="42" t="s">
        <v>362</v>
      </c>
      <c r="R28" s="87" t="s">
        <v>865</v>
      </c>
    </row>
    <row r="29" spans="1:19">
      <c r="A29" s="3" cm="1">
        <f t="array" aca="1" ref="A29" ca="1">INDIRECT("A"&amp;ROW()-1)</f>
        <v>15</v>
      </c>
      <c r="B29" s="3" t="s">
        <v>901</v>
      </c>
      <c r="F29" s="55" t="str">
        <f t="shared" si="0"/>
        <v>TRUE</v>
      </c>
      <c r="G29" s="5" t="s">
        <v>49</v>
      </c>
      <c r="H29" s="80">
        <v>2</v>
      </c>
      <c r="I29" s="6" t="s">
        <v>157</v>
      </c>
      <c r="J29" s="5" t="s">
        <v>49</v>
      </c>
      <c r="K29" s="88" t="s">
        <v>876</v>
      </c>
      <c r="L29" s="31"/>
      <c r="M29" s="31"/>
    </row>
    <row r="30" spans="1:19">
      <c r="A30" s="3" cm="1">
        <f t="array" aca="1" ref="A30" ca="1">INDIRECT("A"&amp;ROW()-1)</f>
        <v>15</v>
      </c>
      <c r="B30" s="3" t="s">
        <v>901</v>
      </c>
      <c r="F30" s="55" t="str">
        <f t="shared" si="0"/>
        <v>TRUE</v>
      </c>
      <c r="G30" s="5" t="s">
        <v>48</v>
      </c>
      <c r="H30" s="80">
        <v>3</v>
      </c>
      <c r="I30" s="6" t="s">
        <v>156</v>
      </c>
      <c r="J30" s="5" t="s">
        <v>48</v>
      </c>
      <c r="K30" s="88" t="s">
        <v>877</v>
      </c>
      <c r="L30" s="31"/>
      <c r="M30" s="31"/>
    </row>
    <row r="31" spans="1:19" ht="31.2">
      <c r="A31" s="3" cm="1">
        <f t="array" aca="1" ref="A31" ca="1">INDIRECT("A"&amp;ROW()-1)</f>
        <v>15</v>
      </c>
      <c r="B31" s="3" t="s">
        <v>901</v>
      </c>
      <c r="F31" s="55" t="str">
        <f t="shared" si="0"/>
        <v>TRUE</v>
      </c>
      <c r="G31" s="14" t="s">
        <v>158</v>
      </c>
      <c r="H31" s="80">
        <v>4</v>
      </c>
      <c r="I31" s="6" t="s">
        <v>160</v>
      </c>
      <c r="J31" s="14" t="s">
        <v>158</v>
      </c>
      <c r="K31" s="88" t="s">
        <v>878</v>
      </c>
      <c r="L31" s="31"/>
      <c r="M31" s="31"/>
    </row>
    <row r="32" spans="1:19" ht="31.2">
      <c r="A32" s="3" cm="1">
        <f t="array" aca="1" ref="A32" ca="1">INDIRECT("A"&amp;ROW()-1)</f>
        <v>15</v>
      </c>
      <c r="B32" s="3" t="s">
        <v>901</v>
      </c>
      <c r="F32" s="55" t="str">
        <f t="shared" si="0"/>
        <v>TRUE</v>
      </c>
      <c r="G32" s="51" t="s">
        <v>159</v>
      </c>
      <c r="H32" s="80">
        <v>5</v>
      </c>
      <c r="I32" s="6" t="s">
        <v>161</v>
      </c>
      <c r="J32" s="51" t="s">
        <v>159</v>
      </c>
      <c r="K32" s="88" t="s">
        <v>879</v>
      </c>
      <c r="L32" s="31"/>
      <c r="M32" s="31"/>
    </row>
    <row r="33" spans="1:19" ht="31.2">
      <c r="A33" s="3" cm="1">
        <f t="array" aca="1" ref="A33" ca="1">INDIRECT("A"&amp;ROW()-1)</f>
        <v>15</v>
      </c>
      <c r="B33" s="3" t="s">
        <v>901</v>
      </c>
      <c r="F33" s="55" t="str">
        <f t="shared" si="0"/>
        <v>TRUE</v>
      </c>
      <c r="G33" s="51" t="s">
        <v>396</v>
      </c>
      <c r="H33" s="80">
        <v>6</v>
      </c>
      <c r="I33" s="52" t="s">
        <v>397</v>
      </c>
      <c r="J33" s="51" t="s">
        <v>396</v>
      </c>
      <c r="K33" s="88" t="s">
        <v>880</v>
      </c>
      <c r="L33" s="31"/>
      <c r="M33" s="31"/>
    </row>
    <row r="34" spans="1:19" ht="31.2">
      <c r="A34" s="3" cm="1">
        <f t="array" aca="1" ref="A34" ca="1">INDIRECT("A"&amp;ROW()-1)+1</f>
        <v>16</v>
      </c>
      <c r="B34" s="3">
        <v>16</v>
      </c>
      <c r="C34" s="3" t="str">
        <f ca="1">A26&amp;"==True"</f>
        <v>14==True</v>
      </c>
      <c r="D34" s="4" t="s">
        <v>869</v>
      </c>
      <c r="E34" s="5" t="s">
        <v>5</v>
      </c>
      <c r="F34" s="56" t="s">
        <v>135</v>
      </c>
      <c r="G34" s="5" t="s">
        <v>1</v>
      </c>
      <c r="H34" s="80">
        <v>1</v>
      </c>
      <c r="I34" s="7" t="b">
        <v>1</v>
      </c>
      <c r="J34" s="52" t="s">
        <v>398</v>
      </c>
      <c r="K34" s="88" t="s">
        <v>881</v>
      </c>
      <c r="L34" s="42">
        <f>L26</f>
        <v>2</v>
      </c>
      <c r="M34" s="42" t="s">
        <v>362</v>
      </c>
      <c r="N34" s="88" t="s">
        <v>882</v>
      </c>
      <c r="R34" s="97" t="s">
        <v>883</v>
      </c>
    </row>
    <row r="35" spans="1:19">
      <c r="A35" s="3" cm="1">
        <f t="array" aca="1" ref="A35" ca="1">INDIRECT("A"&amp;ROW()-1)</f>
        <v>16</v>
      </c>
      <c r="B35" s="3" t="s">
        <v>901</v>
      </c>
      <c r="F35" s="55" t="str">
        <f t="shared" si="0"/>
        <v>FALSE</v>
      </c>
      <c r="G35" s="5" t="s">
        <v>2</v>
      </c>
      <c r="H35" s="80">
        <v>2</v>
      </c>
      <c r="I35" s="7" t="b">
        <v>0</v>
      </c>
      <c r="J35" s="52" t="s">
        <v>399</v>
      </c>
      <c r="K35" s="102" t="s">
        <v>1049</v>
      </c>
      <c r="L35" s="43"/>
      <c r="M35" s="43"/>
    </row>
    <row r="36" spans="1:19" ht="56.4" customHeight="1">
      <c r="A36" s="3" cm="1">
        <f t="array" aca="1" ref="A36" ca="1">INDIRECT("A"&amp;ROW()-1)+1</f>
        <v>17</v>
      </c>
      <c r="B36" s="3">
        <v>17</v>
      </c>
      <c r="C36" s="17" t="str">
        <f ca="1">A34&amp;"==True or "&amp;A28&amp;"any['CDC','CD','DCD','CDCD','DCDCD']"</f>
        <v>16==True or 15any['CDC','CD','DCD','CDCD','DCDCD']</v>
      </c>
      <c r="D36" s="4" t="s">
        <v>870</v>
      </c>
      <c r="E36" s="35" t="s">
        <v>149</v>
      </c>
      <c r="F36" s="54" t="s">
        <v>126</v>
      </c>
      <c r="H36" s="80">
        <v>1</v>
      </c>
      <c r="I36" s="15" t="s">
        <v>130</v>
      </c>
      <c r="J36" s="15"/>
      <c r="K36" s="88" t="s">
        <v>884</v>
      </c>
      <c r="L36" s="42">
        <f>L26</f>
        <v>2</v>
      </c>
      <c r="M36" s="42" t="s">
        <v>362</v>
      </c>
      <c r="O36" s="16"/>
      <c r="P36" s="8"/>
      <c r="Q36" s="18"/>
      <c r="R36" s="97" t="s">
        <v>926</v>
      </c>
      <c r="S36" s="88" t="s">
        <v>866</v>
      </c>
    </row>
    <row r="37" spans="1:19" ht="46.8" customHeight="1">
      <c r="A37" s="3" cm="1">
        <f t="array" aca="1" ref="A37" ca="1">INDIRECT("A"&amp;ROW()-1)+1</f>
        <v>18</v>
      </c>
      <c r="B37" s="3">
        <v>18</v>
      </c>
      <c r="C37" s="17" t="str">
        <f ca="1">A34&amp;"==True or "&amp;A28&amp;"any['DC','CDC','DCD','CDCD','DCDCD']"</f>
        <v>16==True or 15any['DC','CDC','DCD','CDCD','DCDCD']</v>
      </c>
      <c r="D37" s="4" t="s">
        <v>871</v>
      </c>
      <c r="E37" s="35" t="s">
        <v>149</v>
      </c>
      <c r="F37" s="54" t="s">
        <v>126</v>
      </c>
      <c r="H37" s="80">
        <v>1</v>
      </c>
      <c r="I37" s="15" t="s">
        <v>130</v>
      </c>
      <c r="J37" s="15"/>
      <c r="K37" s="88" t="s">
        <v>885</v>
      </c>
      <c r="L37" s="42">
        <f>L36</f>
        <v>2</v>
      </c>
      <c r="M37" s="42" t="s">
        <v>362</v>
      </c>
      <c r="O37" s="16"/>
      <c r="P37" s="8"/>
      <c r="Q37" s="18"/>
      <c r="R37" s="97" t="s">
        <v>927</v>
      </c>
      <c r="S37" s="77" t="s">
        <v>787</v>
      </c>
    </row>
    <row r="38" spans="1:19" ht="31.2">
      <c r="A38" s="3" cm="1">
        <f t="array" aca="1" ref="A38" ca="1">INDIRECT("A"&amp;ROW()-1)+1</f>
        <v>19</v>
      </c>
      <c r="B38" s="3">
        <v>19</v>
      </c>
      <c r="C38" s="17" t="str">
        <f ca="1">A26&amp;"==True"</f>
        <v>14==True</v>
      </c>
      <c r="D38" s="4" t="s">
        <v>872</v>
      </c>
      <c r="E38" s="35" t="s">
        <v>149</v>
      </c>
      <c r="F38" s="54" t="s">
        <v>126</v>
      </c>
      <c r="H38" s="80">
        <v>1</v>
      </c>
      <c r="I38" s="15" t="s">
        <v>130</v>
      </c>
      <c r="J38" s="15"/>
      <c r="K38" s="88" t="s">
        <v>886</v>
      </c>
      <c r="L38" s="42">
        <f>L36</f>
        <v>2</v>
      </c>
      <c r="M38" s="42" t="s">
        <v>362</v>
      </c>
      <c r="N38" s="58" t="s">
        <v>507</v>
      </c>
      <c r="O38" s="16"/>
      <c r="P38" s="8"/>
      <c r="Q38" s="18"/>
      <c r="R38" s="97" t="s">
        <v>928</v>
      </c>
      <c r="S38" s="77" t="s">
        <v>784</v>
      </c>
    </row>
    <row r="39" spans="1:19" ht="46.8" customHeight="1">
      <c r="A39" s="3" cm="1">
        <f t="array" aca="1" ref="A39" ca="1">INDIRECT("A"&amp;ROW()-1)+1</f>
        <v>20</v>
      </c>
      <c r="B39" s="3">
        <v>20</v>
      </c>
      <c r="C39" s="17" t="str">
        <f ca="1">A26&amp;"==True"</f>
        <v>14==True</v>
      </c>
      <c r="D39" s="4" t="s">
        <v>873</v>
      </c>
      <c r="E39" s="35" t="s">
        <v>148</v>
      </c>
      <c r="F39" s="54" t="s">
        <v>126</v>
      </c>
      <c r="H39" s="80">
        <v>1</v>
      </c>
      <c r="I39" s="15" t="s">
        <v>130</v>
      </c>
      <c r="J39" s="15"/>
      <c r="K39" s="102" t="s">
        <v>1050</v>
      </c>
      <c r="L39" s="42">
        <f>L36</f>
        <v>2</v>
      </c>
      <c r="M39" s="42" t="s">
        <v>362</v>
      </c>
      <c r="O39" s="16"/>
      <c r="P39" s="8"/>
      <c r="Q39" s="18"/>
      <c r="R39" s="97" t="s">
        <v>929</v>
      </c>
      <c r="S39" s="88" t="s">
        <v>887</v>
      </c>
    </row>
    <row r="40" spans="1:19" ht="31.2">
      <c r="A40" s="3" cm="1">
        <f t="array" aca="1" ref="A40" ca="1">INDIRECT("A"&amp;ROW()-1)+1</f>
        <v>21</v>
      </c>
      <c r="B40" s="3">
        <v>21</v>
      </c>
      <c r="C40" s="3" t="str">
        <f ca="1">A12&amp;"any['光学'] and "&amp;A12&amp;"any['光源']"</f>
        <v>7any['光学'] and 7any['光源']</v>
      </c>
      <c r="D40" s="4" t="s">
        <v>839</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901</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576</v>
      </c>
      <c r="E42" s="5" t="s">
        <v>5</v>
      </c>
      <c r="F42" s="56" t="s">
        <v>135</v>
      </c>
      <c r="G42" s="68" t="s">
        <v>574</v>
      </c>
      <c r="H42" s="80">
        <v>1</v>
      </c>
      <c r="I42" s="68" t="s">
        <v>577</v>
      </c>
      <c r="J42" s="68" t="s">
        <v>574</v>
      </c>
      <c r="K42" s="70" t="s">
        <v>579</v>
      </c>
      <c r="L42" s="43">
        <f>L40</f>
        <v>3</v>
      </c>
      <c r="M42" s="42" t="s">
        <v>355</v>
      </c>
      <c r="N42" s="51"/>
      <c r="R42" s="69" t="s">
        <v>581</v>
      </c>
    </row>
    <row r="43" spans="1:19">
      <c r="A43" s="3" cm="1">
        <f t="array" aca="1" ref="A43" ca="1">INDIRECT("A"&amp;ROW()-1)</f>
        <v>22</v>
      </c>
      <c r="B43" s="3" t="s">
        <v>901</v>
      </c>
      <c r="F43" s="55" t="str">
        <f>F42</f>
        <v>FALSE</v>
      </c>
      <c r="G43" s="68" t="s">
        <v>575</v>
      </c>
      <c r="H43" s="80">
        <v>2</v>
      </c>
      <c r="I43" s="68" t="s">
        <v>578</v>
      </c>
      <c r="J43" s="68" t="s">
        <v>575</v>
      </c>
      <c r="K43" s="70" t="s">
        <v>580</v>
      </c>
      <c r="L43" s="43"/>
      <c r="M43" s="43"/>
    </row>
    <row r="44" spans="1:19" ht="31.2">
      <c r="A44" s="3" cm="1">
        <f t="array" aca="1" ref="A44" ca="1">INDIRECT("A"&amp;ROW()-1)+1</f>
        <v>23</v>
      </c>
      <c r="B44" s="3">
        <v>23</v>
      </c>
      <c r="C44" s="2" t="str">
        <f ca="1">A40&amp;"==True"</f>
        <v>21==True</v>
      </c>
      <c r="D44" s="4" t="s">
        <v>888</v>
      </c>
      <c r="E44" s="5" t="s">
        <v>5</v>
      </c>
      <c r="F44" s="56" t="s">
        <v>135</v>
      </c>
      <c r="G44" s="5" t="s">
        <v>1</v>
      </c>
      <c r="H44" s="80">
        <v>1</v>
      </c>
      <c r="I44" s="7" t="b">
        <v>1</v>
      </c>
      <c r="J44" s="86" t="s">
        <v>398</v>
      </c>
      <c r="K44" s="88" t="s">
        <v>889</v>
      </c>
      <c r="L44" s="42">
        <f>L40</f>
        <v>3</v>
      </c>
      <c r="M44" s="42" t="s">
        <v>362</v>
      </c>
      <c r="N44" s="51" t="s">
        <v>484</v>
      </c>
      <c r="R44" s="78" t="s">
        <v>785</v>
      </c>
    </row>
    <row r="45" spans="1:19" ht="24" customHeight="1">
      <c r="A45" s="3" cm="1">
        <f t="array" aca="1" ref="A45" ca="1">INDIRECT("A"&amp;ROW()-1)</f>
        <v>23</v>
      </c>
      <c r="B45" s="3" t="s">
        <v>901</v>
      </c>
      <c r="F45" s="55" t="str">
        <f t="shared" si="0"/>
        <v>FALSE</v>
      </c>
      <c r="G45" s="5" t="s">
        <v>2</v>
      </c>
      <c r="H45" s="80">
        <v>2</v>
      </c>
      <c r="I45" s="7" t="b">
        <v>0</v>
      </c>
      <c r="J45" s="52" t="s">
        <v>400</v>
      </c>
      <c r="K45" s="88" t="s">
        <v>890</v>
      </c>
      <c r="L45" s="43"/>
      <c r="M45" s="43"/>
    </row>
    <row r="46" spans="1:19" ht="31.2">
      <c r="A46" s="3" cm="1">
        <f t="array" aca="1" ref="A46" ca="1">INDIRECT("A"&amp;ROW()-1)+1</f>
        <v>24</v>
      </c>
      <c r="B46" s="3">
        <v>24</v>
      </c>
      <c r="C46" s="3" t="str">
        <f ca="1">A44&amp;"==True"</f>
        <v>23==True</v>
      </c>
      <c r="D46" s="4" t="s">
        <v>835</v>
      </c>
      <c r="E46" s="5" t="s">
        <v>5</v>
      </c>
      <c r="F46" s="56" t="s">
        <v>135</v>
      </c>
      <c r="G46" s="86" t="s">
        <v>836</v>
      </c>
      <c r="H46" s="80">
        <v>1</v>
      </c>
      <c r="I46" s="7" t="b">
        <v>1</v>
      </c>
      <c r="J46" s="52" t="s">
        <v>267</v>
      </c>
      <c r="K46" s="68"/>
      <c r="L46" s="43">
        <f>L44</f>
        <v>3</v>
      </c>
      <c r="M46" s="71" t="s">
        <v>355</v>
      </c>
      <c r="N46" s="51"/>
      <c r="R46" s="97" t="s">
        <v>891</v>
      </c>
    </row>
    <row r="47" spans="1:19">
      <c r="A47" s="3" cm="1">
        <f t="array" aca="1" ref="A47" ca="1">INDIRECT("A"&amp;ROW()-1)</f>
        <v>24</v>
      </c>
      <c r="B47" s="3" t="s">
        <v>901</v>
      </c>
      <c r="F47" s="55" t="str">
        <f>F46</f>
        <v>FALSE</v>
      </c>
      <c r="G47" s="86" t="s">
        <v>837</v>
      </c>
      <c r="H47" s="80">
        <v>2</v>
      </c>
      <c r="I47" s="7" t="b">
        <v>0</v>
      </c>
      <c r="J47" s="86" t="s">
        <v>838</v>
      </c>
      <c r="K47" s="68" t="s">
        <v>672</v>
      </c>
      <c r="L47" s="43"/>
      <c r="M47" s="43"/>
    </row>
    <row r="48" spans="1:19">
      <c r="A48" s="3" cm="1">
        <f t="array" aca="1" ref="A48" ca="1">INDIRECT("A"&amp;ROW()-1)+1</f>
        <v>25</v>
      </c>
      <c r="B48" s="3">
        <v>25</v>
      </c>
      <c r="C48" s="3" t="str">
        <f ca="1">A46&amp;"==True"</f>
        <v>24==True</v>
      </c>
      <c r="D48" s="4" t="s">
        <v>671</v>
      </c>
      <c r="E48" s="11" t="s">
        <v>148</v>
      </c>
      <c r="F48" s="28" t="b">
        <v>0</v>
      </c>
      <c r="H48" s="80">
        <v>1</v>
      </c>
      <c r="I48" s="15" t="s">
        <v>130</v>
      </c>
      <c r="J48" s="15"/>
      <c r="K48" s="70" t="s">
        <v>673</v>
      </c>
      <c r="L48" s="44">
        <f>L46</f>
        <v>3</v>
      </c>
      <c r="M48" s="71" t="s">
        <v>355</v>
      </c>
      <c r="O48" s="16"/>
      <c r="P48" s="8"/>
      <c r="Q48" s="9"/>
      <c r="R48" s="97" t="s">
        <v>930</v>
      </c>
    </row>
    <row r="49" spans="1:18" ht="31.2">
      <c r="A49" s="3" cm="1">
        <f t="array" aca="1" ref="A49" ca="1">INDIRECT("A"&amp;ROW()-1)+1</f>
        <v>26</v>
      </c>
      <c r="B49" s="3">
        <v>26</v>
      </c>
      <c r="C49" s="3" t="str">
        <f ca="1">A44&amp;"==True"</f>
        <v>23==True</v>
      </c>
      <c r="D49" s="4" t="s">
        <v>892</v>
      </c>
      <c r="E49" s="5" t="s">
        <v>5</v>
      </c>
      <c r="F49" s="56" t="s">
        <v>135</v>
      </c>
      <c r="G49" s="65" t="s">
        <v>553</v>
      </c>
      <c r="H49" s="80">
        <v>1</v>
      </c>
      <c r="I49" s="65" t="s">
        <v>555</v>
      </c>
      <c r="J49" s="65" t="s">
        <v>555</v>
      </c>
      <c r="K49" s="65" t="s">
        <v>556</v>
      </c>
      <c r="L49" s="42">
        <f>L44</f>
        <v>3</v>
      </c>
      <c r="M49" s="66" t="s">
        <v>359</v>
      </c>
      <c r="N49" s="58"/>
      <c r="R49" s="97" t="s">
        <v>931</v>
      </c>
    </row>
    <row r="50" spans="1:18">
      <c r="A50" s="3" cm="1">
        <f t="array" aca="1" ref="A50" ca="1">INDIRECT("A"&amp;ROW()-1)</f>
        <v>26</v>
      </c>
      <c r="B50" s="3" t="s">
        <v>901</v>
      </c>
      <c r="F50" s="55" t="str">
        <f>F49</f>
        <v>FALSE</v>
      </c>
      <c r="G50" s="65" t="s">
        <v>554</v>
      </c>
      <c r="H50" s="80">
        <v>2</v>
      </c>
      <c r="I50" s="65" t="s">
        <v>554</v>
      </c>
      <c r="J50" s="65" t="s">
        <v>554</v>
      </c>
      <c r="K50" s="65" t="s">
        <v>556</v>
      </c>
      <c r="L50" s="43"/>
      <c r="M50" s="43"/>
      <c r="N50" s="67" t="s">
        <v>560</v>
      </c>
    </row>
    <row r="51" spans="1:18">
      <c r="A51" s="3" cm="1">
        <f t="array" aca="1" ref="A51" ca="1">INDIRECT("A"&amp;ROW()-1)</f>
        <v>26</v>
      </c>
      <c r="B51" s="3" t="s">
        <v>901</v>
      </c>
      <c r="F51" s="55" t="str">
        <f>F50</f>
        <v>FALSE</v>
      </c>
      <c r="G51" s="65" t="s">
        <v>557</v>
      </c>
      <c r="H51" s="80">
        <v>3</v>
      </c>
      <c r="I51" s="65" t="s">
        <v>558</v>
      </c>
      <c r="J51" s="65" t="s">
        <v>558</v>
      </c>
      <c r="K51" s="65" t="s">
        <v>559</v>
      </c>
      <c r="L51" s="43"/>
      <c r="M51" s="43"/>
      <c r="N51" s="67" t="s">
        <v>557</v>
      </c>
    </row>
    <row r="52" spans="1:18">
      <c r="A52" s="3" cm="1">
        <f t="array" aca="1" ref="A52" ca="1">INDIRECT("A"&amp;ROW()-1)+1</f>
        <v>27</v>
      </c>
      <c r="B52" s="3">
        <v>27</v>
      </c>
      <c r="C52" s="3" t="str">
        <f ca="1">A50&amp;"==定制"</f>
        <v>26==定制</v>
      </c>
      <c r="D52" s="4" t="s">
        <v>561</v>
      </c>
      <c r="E52" s="11" t="s">
        <v>148</v>
      </c>
      <c r="F52" s="45" t="s">
        <v>126</v>
      </c>
      <c r="H52" s="80">
        <v>1</v>
      </c>
      <c r="I52" s="15" t="s">
        <v>130</v>
      </c>
      <c r="J52" s="15"/>
      <c r="K52" s="67" t="s">
        <v>562</v>
      </c>
      <c r="L52" s="44">
        <f>L49</f>
        <v>3</v>
      </c>
      <c r="M52" s="66" t="s">
        <v>359</v>
      </c>
      <c r="O52" s="16"/>
      <c r="P52" s="8"/>
      <c r="Q52" s="9"/>
      <c r="R52" s="97" t="s">
        <v>932</v>
      </c>
    </row>
    <row r="53" spans="1:18" ht="31.2">
      <c r="A53" s="3" cm="1">
        <f t="array" aca="1" ref="A53" ca="1">INDIRECT("A"&amp;ROW()-1)+1</f>
        <v>28</v>
      </c>
      <c r="B53" s="3">
        <v>28</v>
      </c>
      <c r="C53" s="3" t="str">
        <f ca="1">A44&amp;"==True and "&amp;A46&amp;"==False"</f>
        <v>23==True and 24==False</v>
      </c>
      <c r="D53" s="4" t="s">
        <v>893</v>
      </c>
      <c r="E53" s="5" t="s">
        <v>5</v>
      </c>
      <c r="F53" s="56" t="s">
        <v>135</v>
      </c>
      <c r="G53" s="5" t="s">
        <v>1</v>
      </c>
      <c r="H53" s="80">
        <v>1</v>
      </c>
      <c r="I53" s="7" t="b">
        <v>1</v>
      </c>
      <c r="J53" s="52" t="s">
        <v>267</v>
      </c>
      <c r="K53" s="52"/>
      <c r="L53" s="43">
        <f>L44</f>
        <v>3</v>
      </c>
      <c r="M53" s="42" t="s">
        <v>359</v>
      </c>
      <c r="N53" s="51" t="s">
        <v>486</v>
      </c>
      <c r="R53" s="97" t="s">
        <v>934</v>
      </c>
    </row>
    <row r="54" spans="1:18">
      <c r="A54" s="3" cm="1">
        <f t="array" aca="1" ref="A54" ca="1">INDIRECT("A"&amp;ROW()-1)</f>
        <v>28</v>
      </c>
      <c r="B54" s="3" t="s">
        <v>901</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935</v>
      </c>
    </row>
    <row r="56" spans="1:18" ht="31.2">
      <c r="A56" s="3" cm="1">
        <f t="array" aca="1" ref="A56" ca="1">INDIRECT("A"&amp;ROW()-1)+1</f>
        <v>30</v>
      </c>
      <c r="B56" s="3">
        <v>30</v>
      </c>
      <c r="C56" s="3" t="str">
        <f ca="1">A44&amp;"==True and "&amp;A46&amp;"==False"</f>
        <v>23==True and 24==False</v>
      </c>
      <c r="D56" s="4" t="s">
        <v>894</v>
      </c>
      <c r="E56" s="5" t="s">
        <v>5</v>
      </c>
      <c r="F56" s="56" t="s">
        <v>126</v>
      </c>
      <c r="G56" s="5" t="s">
        <v>1</v>
      </c>
      <c r="H56" s="80">
        <v>1</v>
      </c>
      <c r="I56" s="7" t="b">
        <v>1</v>
      </c>
      <c r="J56" s="52" t="s">
        <v>267</v>
      </c>
      <c r="K56" s="52"/>
      <c r="L56" s="43">
        <f>L44</f>
        <v>3</v>
      </c>
      <c r="M56" s="42" t="s">
        <v>373</v>
      </c>
      <c r="N56" s="51" t="s">
        <v>485</v>
      </c>
      <c r="R56" s="87" t="s">
        <v>820</v>
      </c>
    </row>
    <row r="57" spans="1:18">
      <c r="A57" s="3" cm="1">
        <f t="array" aca="1" ref="A57" ca="1">INDIRECT("A"&amp;ROW()-1)</f>
        <v>30</v>
      </c>
      <c r="B57" s="3" t="s">
        <v>901</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933</v>
      </c>
    </row>
    <row r="59" spans="1:18" ht="31.2">
      <c r="A59" s="3" cm="1">
        <f t="array" aca="1" ref="A59" ca="1">INDIRECT("A"&amp;ROW()-1)+1</f>
        <v>32</v>
      </c>
      <c r="B59" s="3">
        <v>32</v>
      </c>
      <c r="C59" s="3" t="str">
        <f ca="1">A44&amp;"==True and "&amp;A46&amp;"==False"</f>
        <v>23==True and 24==False</v>
      </c>
      <c r="D59" s="4" t="s">
        <v>895</v>
      </c>
      <c r="E59" s="5" t="s">
        <v>5</v>
      </c>
      <c r="F59" s="56" t="s">
        <v>135</v>
      </c>
      <c r="G59" s="5" t="s">
        <v>1</v>
      </c>
      <c r="H59" s="80">
        <v>1</v>
      </c>
      <c r="I59" s="7" t="b">
        <v>1</v>
      </c>
      <c r="J59" s="37" t="s">
        <v>267</v>
      </c>
      <c r="L59" s="48">
        <f>L44</f>
        <v>3</v>
      </c>
      <c r="M59" s="71" t="s">
        <v>361</v>
      </c>
      <c r="N59" s="51"/>
      <c r="R59" s="97" t="s">
        <v>936</v>
      </c>
    </row>
    <row r="60" spans="1:18">
      <c r="A60" s="3" cm="1">
        <f t="array" aca="1" ref="A60" ca="1">INDIRECT("A"&amp;ROW()-1)</f>
        <v>32</v>
      </c>
      <c r="B60" s="3" t="s">
        <v>901</v>
      </c>
      <c r="F60" s="55" t="str">
        <f>F59</f>
        <v>FALSE</v>
      </c>
      <c r="G60" s="5" t="s">
        <v>2</v>
      </c>
      <c r="H60" s="80">
        <v>2</v>
      </c>
      <c r="I60" s="7" t="b">
        <v>0</v>
      </c>
      <c r="J60" s="52" t="s">
        <v>428</v>
      </c>
      <c r="K60" s="70" t="s">
        <v>592</v>
      </c>
      <c r="L60" s="48"/>
      <c r="M60" s="48"/>
    </row>
    <row r="61" spans="1:18">
      <c r="A61" s="3" cm="1">
        <f t="array" aca="1" ref="A61" ca="1">INDIRECT("A"&amp;ROW()-1)+1</f>
        <v>33</v>
      </c>
      <c r="B61" s="3">
        <v>33</v>
      </c>
      <c r="C61" s="3" t="str">
        <f ca="1">A59&amp;"==True"</f>
        <v>32==True</v>
      </c>
      <c r="D61" s="4" t="s">
        <v>896</v>
      </c>
      <c r="E61" s="11" t="s">
        <v>148</v>
      </c>
      <c r="F61" s="46" t="s">
        <v>126</v>
      </c>
      <c r="H61" s="80">
        <v>1</v>
      </c>
      <c r="I61" s="15" t="s">
        <v>130</v>
      </c>
      <c r="J61" s="15"/>
      <c r="K61" s="70" t="s">
        <v>593</v>
      </c>
      <c r="L61" s="44">
        <f>L59</f>
        <v>3</v>
      </c>
      <c r="M61" s="42" t="s">
        <v>361</v>
      </c>
      <c r="O61" s="16"/>
      <c r="P61" s="8"/>
      <c r="Q61" s="18"/>
      <c r="R61" s="97" t="s">
        <v>185</v>
      </c>
    </row>
    <row r="62" spans="1:18" ht="31.2">
      <c r="A62" s="3" cm="1">
        <f t="array" aca="1" ref="A62" ca="1">INDIRECT("A"&amp;ROW()-1)+1</f>
        <v>34</v>
      </c>
      <c r="B62" s="3">
        <v>34</v>
      </c>
      <c r="C62" s="3" t="str">
        <f ca="1">A44&amp;"==True and "&amp;A49&amp;"!=不配"</f>
        <v>23==True and 26!=不配</v>
      </c>
      <c r="D62" s="4" t="s">
        <v>405</v>
      </c>
      <c r="E62" s="5" t="s">
        <v>5</v>
      </c>
      <c r="F62" s="56" t="s">
        <v>135</v>
      </c>
      <c r="G62" s="5" t="s">
        <v>1</v>
      </c>
      <c r="H62" s="80">
        <v>1</v>
      </c>
      <c r="I62" s="7" t="b">
        <v>1</v>
      </c>
      <c r="J62" s="52" t="s">
        <v>267</v>
      </c>
      <c r="K62" s="51"/>
      <c r="L62" s="43">
        <f>L49</f>
        <v>3</v>
      </c>
      <c r="M62" s="42" t="s">
        <v>359</v>
      </c>
      <c r="R62" s="97" t="s">
        <v>937</v>
      </c>
    </row>
    <row r="63" spans="1:18" ht="31.2">
      <c r="A63" s="3" cm="1">
        <f t="array" aca="1" ref="A63" ca="1">INDIRECT("A"&amp;ROW()-1)</f>
        <v>34</v>
      </c>
      <c r="B63" s="3" t="s">
        <v>901</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A44&amp;"==True"</f>
        <v>23==True</v>
      </c>
      <c r="D64" s="4" t="s">
        <v>897</v>
      </c>
      <c r="E64" s="5" t="s">
        <v>5</v>
      </c>
      <c r="F64" s="56" t="s">
        <v>126</v>
      </c>
      <c r="G64" s="35" t="s">
        <v>273</v>
      </c>
      <c r="H64" s="80">
        <v>1</v>
      </c>
      <c r="I64" s="7" t="s">
        <v>58</v>
      </c>
      <c r="J64" s="34" t="s">
        <v>277</v>
      </c>
      <c r="K64" s="35" t="s">
        <v>296</v>
      </c>
      <c r="L64" s="43">
        <f>L44</f>
        <v>3</v>
      </c>
      <c r="M64" s="42" t="s">
        <v>359</v>
      </c>
      <c r="N64" s="59" t="s">
        <v>509</v>
      </c>
      <c r="R64" s="97" t="s">
        <v>938</v>
      </c>
    </row>
    <row r="65" spans="1:18" ht="31.2">
      <c r="A65" s="3" cm="1">
        <f t="array" aca="1" ref="A65" ca="1">INDIRECT("A"&amp;ROW()-1)</f>
        <v>35</v>
      </c>
      <c r="B65" s="3" t="s">
        <v>901</v>
      </c>
      <c r="F65" s="55" t="str">
        <f>F64</f>
        <v>TRUE</v>
      </c>
      <c r="G65" s="35" t="s">
        <v>272</v>
      </c>
      <c r="H65" s="80">
        <v>2</v>
      </c>
      <c r="I65" s="7" t="s">
        <v>60</v>
      </c>
      <c r="J65" s="34" t="s">
        <v>278</v>
      </c>
      <c r="K65" s="35" t="s">
        <v>296</v>
      </c>
      <c r="L65" s="43"/>
      <c r="M65" s="43"/>
      <c r="N65" s="59" t="s">
        <v>510</v>
      </c>
    </row>
    <row r="66" spans="1:18" ht="31.2">
      <c r="A66" s="3" cm="1">
        <f t="array" aca="1" ref="A66" ca="1">INDIRECT("A"&amp;ROW()-1)</f>
        <v>35</v>
      </c>
      <c r="B66" s="3" t="s">
        <v>901</v>
      </c>
      <c r="F66" s="55" t="str">
        <f>F65</f>
        <v>TRUE</v>
      </c>
      <c r="G66" s="35" t="s">
        <v>274</v>
      </c>
      <c r="H66" s="80">
        <v>3</v>
      </c>
      <c r="I66" s="7" t="s">
        <v>59</v>
      </c>
      <c r="J66" s="34" t="s">
        <v>279</v>
      </c>
      <c r="K66" s="35" t="s">
        <v>296</v>
      </c>
      <c r="L66" s="43"/>
      <c r="M66" s="43"/>
      <c r="N66" s="59" t="s">
        <v>511</v>
      </c>
    </row>
    <row r="67" spans="1:18" ht="46.8">
      <c r="A67" s="3" cm="1">
        <f t="array" aca="1" ref="A67" ca="1">INDIRECT("A"&amp;ROW()-1)+1</f>
        <v>36</v>
      </c>
      <c r="B67" s="3">
        <v>36</v>
      </c>
      <c r="C67" s="3" t="str">
        <f ca="1">A44&amp;"==True and "&amp;A46&amp;"==False"</f>
        <v>23==True and 24==False</v>
      </c>
      <c r="D67" s="4" t="s">
        <v>898</v>
      </c>
      <c r="E67" s="5" t="s">
        <v>5</v>
      </c>
      <c r="F67" s="56" t="s">
        <v>135</v>
      </c>
      <c r="G67" s="35" t="s">
        <v>131</v>
      </c>
      <c r="H67" s="80">
        <v>1</v>
      </c>
      <c r="I67" s="40" t="s">
        <v>351</v>
      </c>
      <c r="J67" s="34" t="s">
        <v>275</v>
      </c>
      <c r="K67" s="35" t="s">
        <v>297</v>
      </c>
      <c r="L67" s="43">
        <f>L44</f>
        <v>3</v>
      </c>
      <c r="M67" s="85" t="s">
        <v>355</v>
      </c>
      <c r="N67" s="82" t="s">
        <v>813</v>
      </c>
      <c r="R67" s="97" t="s">
        <v>939</v>
      </c>
    </row>
    <row r="68" spans="1:18" ht="31.2">
      <c r="A68" s="3" cm="1">
        <f t="array" aca="1" ref="A68" ca="1">INDIRECT("A"&amp;ROW()-1)</f>
        <v>36</v>
      </c>
      <c r="B68" s="3" t="s">
        <v>901</v>
      </c>
      <c r="F68" s="55" t="str">
        <f>F67</f>
        <v>FALSE</v>
      </c>
      <c r="G68" s="23" t="s">
        <v>132</v>
      </c>
      <c r="H68" s="80">
        <v>2</v>
      </c>
      <c r="I68" s="40" t="s">
        <v>350</v>
      </c>
      <c r="J68" s="34" t="s">
        <v>276</v>
      </c>
      <c r="K68" s="35" t="s">
        <v>297</v>
      </c>
      <c r="L68" s="43"/>
      <c r="M68" s="43"/>
      <c r="N68" s="82" t="s">
        <v>814</v>
      </c>
    </row>
    <row r="69" spans="1:18" ht="31.2">
      <c r="A69" s="3" cm="1">
        <f t="array" aca="1" ref="A69" ca="1">INDIRECT("A"&amp;ROW()-1)</f>
        <v>36</v>
      </c>
      <c r="B69" s="3" t="s">
        <v>901</v>
      </c>
      <c r="F69" s="55" t="str">
        <f>F68</f>
        <v>FALSE</v>
      </c>
      <c r="G69" s="21" t="s">
        <v>164</v>
      </c>
      <c r="H69" s="80">
        <v>3</v>
      </c>
      <c r="I69" s="40" t="s">
        <v>352</v>
      </c>
      <c r="J69" s="34" t="s">
        <v>280</v>
      </c>
      <c r="K69" s="35" t="s">
        <v>297</v>
      </c>
      <c r="L69" s="43"/>
      <c r="M69" s="43"/>
      <c r="N69" s="82" t="s">
        <v>815</v>
      </c>
    </row>
    <row r="70" spans="1:18" ht="31.2">
      <c r="A70" s="3" cm="1">
        <f t="array" aca="1" ref="A70" ca="1">INDIRECT("A"&amp;ROW()-1)</f>
        <v>36</v>
      </c>
      <c r="B70" s="3" t="s">
        <v>901</v>
      </c>
      <c r="F70" s="55" t="str">
        <f>F69</f>
        <v>FALSE</v>
      </c>
      <c r="G70" s="84" t="s">
        <v>811</v>
      </c>
      <c r="H70" s="80">
        <v>4</v>
      </c>
      <c r="I70" s="82" t="s">
        <v>812</v>
      </c>
      <c r="J70" s="82" t="s">
        <v>811</v>
      </c>
      <c r="K70" s="84" t="s">
        <v>817</v>
      </c>
      <c r="L70" s="43"/>
      <c r="M70" s="43"/>
      <c r="N70" s="82" t="s">
        <v>816</v>
      </c>
    </row>
    <row r="71" spans="1:18" ht="31.2">
      <c r="A71" s="3" cm="1">
        <f t="array" aca="1" ref="A71" ca="1">INDIRECT("A"&amp;ROW()-1)+1</f>
        <v>37</v>
      </c>
      <c r="B71" s="3">
        <v>37</v>
      </c>
      <c r="C71" s="3" t="str">
        <f ca="1">A67&amp;"==定制检测"</f>
        <v>36==定制检测</v>
      </c>
      <c r="D71" s="4" t="s">
        <v>818</v>
      </c>
      <c r="E71" s="11" t="s">
        <v>148</v>
      </c>
      <c r="F71" s="45" t="s">
        <v>126</v>
      </c>
      <c r="H71" s="80">
        <v>1</v>
      </c>
      <c r="I71" s="15" t="s">
        <v>130</v>
      </c>
      <c r="J71" s="15"/>
      <c r="K71" s="84" t="s">
        <v>819</v>
      </c>
      <c r="L71" s="44">
        <f>L67</f>
        <v>3</v>
      </c>
      <c r="M71" s="85" t="s">
        <v>355</v>
      </c>
      <c r="O71" s="16"/>
      <c r="P71" s="8"/>
      <c r="Q71" s="9"/>
      <c r="R71" s="87" t="s">
        <v>899</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512</v>
      </c>
      <c r="R72" s="97" t="s">
        <v>940</v>
      </c>
    </row>
    <row r="73" spans="1:18" ht="46.8">
      <c r="A73" s="3" cm="1">
        <f t="array" aca="1" ref="A73" ca="1">INDIRECT("A"&amp;ROW()-1)</f>
        <v>38</v>
      </c>
      <c r="B73" s="3" t="s">
        <v>901</v>
      </c>
      <c r="F73" s="55" t="str">
        <f>F72</f>
        <v>FALSE</v>
      </c>
      <c r="G73" s="82" t="s">
        <v>413</v>
      </c>
      <c r="H73" s="80">
        <v>2</v>
      </c>
      <c r="I73" s="7" t="b">
        <v>0</v>
      </c>
      <c r="J73" s="52" t="s">
        <v>412</v>
      </c>
      <c r="K73" s="88" t="s">
        <v>900</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941</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508</v>
      </c>
      <c r="R75" s="97" t="s">
        <v>942</v>
      </c>
    </row>
    <row r="76" spans="1:18">
      <c r="A76" s="3" cm="1">
        <f t="array" aca="1" ref="A76" ca="1">INDIRECT("A"&amp;ROW()-1)</f>
        <v>40</v>
      </c>
      <c r="B76" s="3" t="s">
        <v>901</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943</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944</v>
      </c>
    </row>
    <row r="79" spans="1:18">
      <c r="A79" s="3" cm="1">
        <f t="array" aca="1" ref="A79" ca="1">INDIRECT("A"&amp;ROW()-1)</f>
        <v>42</v>
      </c>
      <c r="B79" s="3" t="s">
        <v>901</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901</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804</v>
      </c>
      <c r="S82" s="93" t="s">
        <v>914</v>
      </c>
      <c r="T82" s="93" t="s">
        <v>914</v>
      </c>
    </row>
    <row r="83" spans="1:20" ht="98.4" customHeight="1">
      <c r="A83" s="3" cm="1">
        <f t="array" aca="1" ref="A83" ca="1">INDIRECT("A"&amp;ROW()-1)+1</f>
        <v>45</v>
      </c>
      <c r="B83" s="3">
        <v>45</v>
      </c>
      <c r="C83" s="3" t="str">
        <f ca="1">A12&amp;"any['光学']"</f>
        <v>7any['光学']</v>
      </c>
      <c r="D83" s="4" t="s">
        <v>843</v>
      </c>
      <c r="E83" s="5" t="s">
        <v>5</v>
      </c>
      <c r="F83" s="56" t="s">
        <v>135</v>
      </c>
      <c r="G83" s="5" t="s">
        <v>1</v>
      </c>
      <c r="H83" s="80">
        <v>1</v>
      </c>
      <c r="I83" s="7" t="b">
        <v>1</v>
      </c>
      <c r="J83" s="86" t="s">
        <v>845</v>
      </c>
      <c r="K83" s="88" t="s">
        <v>844</v>
      </c>
      <c r="L83" s="43">
        <v>4</v>
      </c>
      <c r="M83" s="89" t="s">
        <v>55</v>
      </c>
      <c r="N83" s="88" t="s">
        <v>861</v>
      </c>
      <c r="R83" s="87" t="s">
        <v>862</v>
      </c>
    </row>
    <row r="84" spans="1:20">
      <c r="A84" s="3" cm="1">
        <f t="array" aca="1" ref="A84" ca="1">INDIRECT("A"&amp;ROW()-1)</f>
        <v>45</v>
      </c>
      <c r="B84" s="3" t="s">
        <v>901</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849</v>
      </c>
      <c r="E85" s="11" t="s">
        <v>148</v>
      </c>
      <c r="F85" s="54" t="s">
        <v>126</v>
      </c>
      <c r="H85" s="80">
        <v>1</v>
      </c>
      <c r="I85" s="15" t="s">
        <v>130</v>
      </c>
      <c r="J85" s="15"/>
      <c r="K85" s="88" t="s">
        <v>846</v>
      </c>
      <c r="L85" s="44">
        <f>L83</f>
        <v>4</v>
      </c>
      <c r="M85" s="89" t="s">
        <v>847</v>
      </c>
      <c r="O85" s="16"/>
      <c r="P85" s="8"/>
      <c r="Q85" s="18"/>
      <c r="R85" s="87" t="s">
        <v>848</v>
      </c>
      <c r="S85" s="88" t="s">
        <v>852</v>
      </c>
    </row>
    <row r="86" spans="1:20">
      <c r="A86" s="3" cm="1">
        <f t="array" aca="1" ref="A86" ca="1">INDIRECT("A"&amp;ROW()-1)+1</f>
        <v>47</v>
      </c>
      <c r="B86" s="3">
        <v>47</v>
      </c>
      <c r="C86" s="17" t="str">
        <f ca="1">A83&amp;"==True"</f>
        <v>45==True</v>
      </c>
      <c r="D86" s="4" t="s">
        <v>850</v>
      </c>
      <c r="E86" s="11" t="s">
        <v>148</v>
      </c>
      <c r="F86" s="54" t="s">
        <v>126</v>
      </c>
      <c r="H86" s="80">
        <v>1</v>
      </c>
      <c r="I86" s="15" t="s">
        <v>130</v>
      </c>
      <c r="J86" s="15"/>
      <c r="K86" s="88" t="s">
        <v>851</v>
      </c>
      <c r="L86" s="44">
        <f>L83</f>
        <v>4</v>
      </c>
      <c r="M86" s="89" t="s">
        <v>55</v>
      </c>
      <c r="O86" s="16"/>
      <c r="P86" s="8"/>
      <c r="Q86" s="18"/>
      <c r="R86" s="97" t="s">
        <v>945</v>
      </c>
      <c r="S86" s="96" t="s">
        <v>946</v>
      </c>
    </row>
    <row r="87" spans="1:20">
      <c r="A87" s="3" cm="1">
        <f t="array" aca="1" ref="A87" ca="1">INDIRECT("A"&amp;ROW()-1)+1</f>
        <v>48</v>
      </c>
      <c r="B87" s="3">
        <v>48</v>
      </c>
      <c r="C87" s="17" t="str">
        <f ca="1">A83&amp;"==True"</f>
        <v>45==True</v>
      </c>
      <c r="D87" s="4" t="s">
        <v>853</v>
      </c>
      <c r="E87" s="11" t="s">
        <v>148</v>
      </c>
      <c r="F87" s="54" t="s">
        <v>126</v>
      </c>
      <c r="H87" s="80">
        <v>1</v>
      </c>
      <c r="I87" s="15" t="s">
        <v>130</v>
      </c>
      <c r="J87" s="15"/>
      <c r="K87" s="88" t="s">
        <v>855</v>
      </c>
      <c r="L87" s="44">
        <f>L83</f>
        <v>4</v>
      </c>
      <c r="M87" s="89" t="s">
        <v>55</v>
      </c>
      <c r="O87" s="16"/>
      <c r="P87" s="8"/>
      <c r="Q87" s="18"/>
      <c r="R87" s="87" t="s">
        <v>857</v>
      </c>
      <c r="S87" s="88" t="s">
        <v>860</v>
      </c>
    </row>
    <row r="88" spans="1:20">
      <c r="A88" s="3" cm="1">
        <f t="array" aca="1" ref="A88" ca="1">INDIRECT("A"&amp;ROW()-1)+1</f>
        <v>49</v>
      </c>
      <c r="B88" s="3">
        <v>49</v>
      </c>
      <c r="C88" s="17" t="str">
        <f ca="1">A83&amp;"==True"</f>
        <v>45==True</v>
      </c>
      <c r="D88" s="4" t="s">
        <v>854</v>
      </c>
      <c r="E88" s="11" t="s">
        <v>148</v>
      </c>
      <c r="F88" s="54" t="s">
        <v>126</v>
      </c>
      <c r="H88" s="80">
        <v>1</v>
      </c>
      <c r="I88" s="15" t="s">
        <v>130</v>
      </c>
      <c r="J88" s="15"/>
      <c r="K88" s="88" t="s">
        <v>856</v>
      </c>
      <c r="L88" s="44">
        <f>L83</f>
        <v>4</v>
      </c>
      <c r="M88" s="89" t="s">
        <v>55</v>
      </c>
      <c r="O88" s="16"/>
      <c r="P88" s="8"/>
      <c r="Q88" s="18"/>
      <c r="R88" s="87" t="s">
        <v>858</v>
      </c>
      <c r="S88" s="88" t="s">
        <v>859</v>
      </c>
    </row>
    <row r="89" spans="1:20" ht="31.2">
      <c r="A89" s="3" cm="1">
        <f t="array" aca="1" ref="A89" ca="1">INDIRECT("A"&amp;ROW()-1)+1</f>
        <v>50</v>
      </c>
      <c r="B89" s="3">
        <v>50</v>
      </c>
      <c r="C89" s="3" t="str">
        <f ca="1">A12&amp;"any['光学'] and "&amp;A12&amp;"any['光源']"</f>
        <v>7any['光学'] and 7any['光源']</v>
      </c>
      <c r="D89" s="4" t="s">
        <v>947</v>
      </c>
      <c r="E89" s="5" t="s">
        <v>5</v>
      </c>
      <c r="F89" s="56" t="s">
        <v>135</v>
      </c>
      <c r="G89" s="5" t="s">
        <v>1</v>
      </c>
      <c r="H89" s="80">
        <v>1</v>
      </c>
      <c r="I89" s="7" t="b">
        <v>1</v>
      </c>
      <c r="J89" s="68" t="s">
        <v>658</v>
      </c>
      <c r="K89" s="70" t="s">
        <v>477</v>
      </c>
      <c r="L89" s="43">
        <v>5</v>
      </c>
      <c r="M89" s="71" t="s">
        <v>355</v>
      </c>
      <c r="R89" s="97" t="s">
        <v>948</v>
      </c>
    </row>
    <row r="90" spans="1:20">
      <c r="A90" s="3" cm="1">
        <f t="array" aca="1" ref="A90" ca="1">INDIRECT("A"&amp;ROW()-1)</f>
        <v>50</v>
      </c>
      <c r="B90" s="3" t="s">
        <v>901</v>
      </c>
      <c r="F90" s="55" t="str">
        <f>F89</f>
        <v>FALSE</v>
      </c>
      <c r="G90" s="5" t="s">
        <v>2</v>
      </c>
      <c r="H90" s="80">
        <v>2</v>
      </c>
      <c r="I90" s="7" t="b">
        <v>0</v>
      </c>
      <c r="J90" s="68" t="s">
        <v>659</v>
      </c>
      <c r="K90" s="70" t="s">
        <v>660</v>
      </c>
      <c r="L90" s="43"/>
      <c r="M90" s="43"/>
    </row>
    <row r="91" spans="1:20" ht="31.2">
      <c r="A91" s="3" cm="1">
        <f t="array" aca="1" ref="A91" ca="1">INDIRECT("A"&amp;ROW()-1)+1</f>
        <v>51</v>
      </c>
      <c r="B91" s="3">
        <v>51</v>
      </c>
      <c r="C91" s="17" t="str">
        <f ca="1">A89&amp;"==True"</f>
        <v>50==True</v>
      </c>
      <c r="D91" s="4" t="s">
        <v>662</v>
      </c>
      <c r="E91" s="11" t="s">
        <v>148</v>
      </c>
      <c r="F91" s="54" t="s">
        <v>126</v>
      </c>
      <c r="H91" s="80">
        <v>1</v>
      </c>
      <c r="I91" s="15" t="s">
        <v>130</v>
      </c>
      <c r="J91" s="15"/>
      <c r="K91" s="70" t="s">
        <v>661</v>
      </c>
      <c r="L91" s="44">
        <f>L89</f>
        <v>5</v>
      </c>
      <c r="M91" s="71" t="s">
        <v>355</v>
      </c>
      <c r="O91" s="16"/>
      <c r="P91" s="8"/>
      <c r="Q91" s="18"/>
      <c r="R91" s="97" t="s">
        <v>950</v>
      </c>
      <c r="S91" s="96" t="s">
        <v>949</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951</v>
      </c>
    </row>
    <row r="93" spans="1:20">
      <c r="A93" s="3" cm="1">
        <f t="array" aca="1" ref="A93" ca="1">INDIRECT("A"&amp;ROW()-1)</f>
        <v>52</v>
      </c>
      <c r="B93" s="3" t="s">
        <v>901</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952</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901</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953</v>
      </c>
    </row>
    <row r="99" spans="1:18">
      <c r="A99" s="3" cm="1">
        <f t="array" aca="1" ref="A99" ca="1">INDIRECT("A"&amp;ROW()-1)</f>
        <v>56</v>
      </c>
      <c r="B99" s="3" t="s">
        <v>901</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954</v>
      </c>
      <c r="E100" s="24" t="s">
        <v>129</v>
      </c>
      <c r="F100" s="56" t="s">
        <v>135</v>
      </c>
      <c r="H100" s="80">
        <v>1</v>
      </c>
      <c r="I100" s="15" t="s">
        <v>130</v>
      </c>
      <c r="J100" s="15"/>
      <c r="K100" s="35" t="s">
        <v>300</v>
      </c>
      <c r="L100" s="44">
        <f>L96</f>
        <v>5</v>
      </c>
      <c r="M100" s="42" t="s">
        <v>355</v>
      </c>
      <c r="O100" s="16"/>
      <c r="P100" s="16"/>
      <c r="Q100" s="9"/>
      <c r="R100" s="97" t="s">
        <v>955</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956</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810</v>
      </c>
      <c r="L102" s="3">
        <f>L92</f>
        <v>5</v>
      </c>
      <c r="M102" s="42" t="s">
        <v>360</v>
      </c>
      <c r="R102" s="19" t="s">
        <v>171</v>
      </c>
    </row>
    <row r="103" spans="1:18" ht="31.2">
      <c r="A103" s="3" cm="1">
        <f t="array" aca="1" ref="A103" ca="1">INDIRECT("A"&amp;ROW()-1)</f>
        <v>59</v>
      </c>
      <c r="B103" s="3" t="s">
        <v>901</v>
      </c>
      <c r="F103" s="55" t="str">
        <f>F102</f>
        <v>FALSE</v>
      </c>
      <c r="G103" s="5" t="s">
        <v>79</v>
      </c>
      <c r="H103" s="80">
        <v>2</v>
      </c>
      <c r="I103" s="7" t="s">
        <v>77</v>
      </c>
      <c r="J103" s="7" t="s">
        <v>77</v>
      </c>
    </row>
    <row r="104" spans="1:18">
      <c r="A104" s="3" cm="1">
        <f t="array" aca="1" ref="A104" ca="1">INDIRECT("A"&amp;ROW()-1)</f>
        <v>59</v>
      </c>
      <c r="B104" s="3" t="s">
        <v>901</v>
      </c>
      <c r="F104" s="55" t="str">
        <f t="shared" ref="F104:F115" si="1">F103</f>
        <v>FALSE</v>
      </c>
      <c r="G104" s="5" t="s">
        <v>78</v>
      </c>
      <c r="H104" s="80">
        <v>3</v>
      </c>
      <c r="I104" s="7" t="s">
        <v>78</v>
      </c>
      <c r="J104" s="7" t="s">
        <v>78</v>
      </c>
    </row>
    <row r="105" spans="1:18">
      <c r="A105" s="3" cm="1">
        <f t="array" aca="1" ref="A105" ca="1">INDIRECT("A"&amp;ROW()-1)</f>
        <v>59</v>
      </c>
      <c r="B105" s="3" t="s">
        <v>901</v>
      </c>
      <c r="F105" s="55" t="str">
        <f t="shared" si="1"/>
        <v>FALSE</v>
      </c>
      <c r="G105" s="5" t="s">
        <v>63</v>
      </c>
      <c r="H105" s="80">
        <v>4</v>
      </c>
      <c r="I105" s="7" t="s">
        <v>63</v>
      </c>
      <c r="J105" s="7" t="s">
        <v>63</v>
      </c>
    </row>
    <row r="106" spans="1:18">
      <c r="A106" s="3" cm="1">
        <f t="array" aca="1" ref="A106" ca="1">INDIRECT("A"&amp;ROW()-1)</f>
        <v>59</v>
      </c>
      <c r="B106" s="3" t="s">
        <v>901</v>
      </c>
      <c r="F106" s="55" t="str">
        <f t="shared" si="1"/>
        <v>FALSE</v>
      </c>
      <c r="G106" s="5" t="s">
        <v>64</v>
      </c>
      <c r="H106" s="80">
        <v>5</v>
      </c>
      <c r="I106" s="7" t="s">
        <v>64</v>
      </c>
      <c r="J106" s="7" t="s">
        <v>64</v>
      </c>
    </row>
    <row r="107" spans="1:18">
      <c r="A107" s="3" cm="1">
        <f t="array" aca="1" ref="A107" ca="1">INDIRECT("A"&amp;ROW()-1)</f>
        <v>59</v>
      </c>
      <c r="B107" s="3" t="s">
        <v>901</v>
      </c>
      <c r="F107" s="55" t="str">
        <f t="shared" si="1"/>
        <v>FALSE</v>
      </c>
      <c r="G107" s="5" t="s">
        <v>85</v>
      </c>
      <c r="H107" s="80">
        <v>6</v>
      </c>
      <c r="I107" s="7" t="s">
        <v>85</v>
      </c>
      <c r="J107" s="7" t="s">
        <v>85</v>
      </c>
    </row>
    <row r="108" spans="1:18">
      <c r="A108" s="3" cm="1">
        <f t="array" aca="1" ref="A108" ca="1">INDIRECT("A"&amp;ROW()-1)</f>
        <v>59</v>
      </c>
      <c r="B108" s="3" t="s">
        <v>901</v>
      </c>
      <c r="F108" s="55" t="str">
        <f t="shared" si="1"/>
        <v>FALSE</v>
      </c>
      <c r="G108" s="5" t="s">
        <v>86</v>
      </c>
      <c r="H108" s="80">
        <v>7</v>
      </c>
      <c r="I108" s="7" t="s">
        <v>86</v>
      </c>
      <c r="J108" s="7" t="s">
        <v>86</v>
      </c>
    </row>
    <row r="109" spans="1:18">
      <c r="A109" s="3" cm="1">
        <f t="array" aca="1" ref="A109" ca="1">INDIRECT("A"&amp;ROW()-1)</f>
        <v>59</v>
      </c>
      <c r="B109" s="3" t="s">
        <v>901</v>
      </c>
      <c r="F109" s="55" t="str">
        <f t="shared" si="1"/>
        <v>FALSE</v>
      </c>
      <c r="G109" s="5" t="s">
        <v>87</v>
      </c>
      <c r="H109" s="80">
        <v>8</v>
      </c>
      <c r="I109" s="7" t="s">
        <v>87</v>
      </c>
      <c r="J109" s="7" t="s">
        <v>87</v>
      </c>
    </row>
    <row r="110" spans="1:18">
      <c r="A110" s="3" cm="1">
        <f t="array" aca="1" ref="A110" ca="1">INDIRECT("A"&amp;ROW()-1)</f>
        <v>59</v>
      </c>
      <c r="B110" s="3" t="s">
        <v>901</v>
      </c>
      <c r="F110" s="55" t="str">
        <f t="shared" si="1"/>
        <v>FALSE</v>
      </c>
      <c r="G110" s="21" t="s">
        <v>121</v>
      </c>
      <c r="H110" s="80">
        <v>9</v>
      </c>
      <c r="I110" s="20" t="s">
        <v>121</v>
      </c>
      <c r="J110" s="20" t="s">
        <v>121</v>
      </c>
      <c r="L110" s="45"/>
      <c r="M110" s="45"/>
    </row>
    <row r="111" spans="1:18">
      <c r="A111" s="3" cm="1">
        <f t="array" aca="1" ref="A111" ca="1">INDIRECT("A"&amp;ROW()-1)</f>
        <v>59</v>
      </c>
      <c r="B111" s="3" t="s">
        <v>901</v>
      </c>
      <c r="F111" s="55" t="str">
        <f t="shared" si="1"/>
        <v>FALSE</v>
      </c>
      <c r="G111" s="5" t="s">
        <v>88</v>
      </c>
      <c r="H111" s="80">
        <v>10</v>
      </c>
      <c r="I111" s="7" t="s">
        <v>88</v>
      </c>
      <c r="J111" s="7" t="s">
        <v>88</v>
      </c>
    </row>
    <row r="112" spans="1:18">
      <c r="A112" s="3" cm="1">
        <f t="array" aca="1" ref="A112" ca="1">INDIRECT("A"&amp;ROW()-1)</f>
        <v>59</v>
      </c>
      <c r="B112" s="3" t="s">
        <v>901</v>
      </c>
      <c r="F112" s="55" t="str">
        <f t="shared" si="1"/>
        <v>FALSE</v>
      </c>
      <c r="G112" s="5" t="s">
        <v>91</v>
      </c>
      <c r="H112" s="80">
        <v>11</v>
      </c>
      <c r="I112" s="7" t="s">
        <v>91</v>
      </c>
      <c r="J112" s="7" t="s">
        <v>91</v>
      </c>
    </row>
    <row r="113" spans="1:20">
      <c r="A113" s="3" cm="1">
        <f t="array" aca="1" ref="A113" ca="1">INDIRECT("A"&amp;ROW()-1)</f>
        <v>59</v>
      </c>
      <c r="B113" s="3" t="s">
        <v>901</v>
      </c>
      <c r="F113" s="55" t="str">
        <f t="shared" si="1"/>
        <v>FALSE</v>
      </c>
      <c r="G113" s="21" t="s">
        <v>169</v>
      </c>
      <c r="H113" s="80">
        <v>12</v>
      </c>
      <c r="I113" s="20" t="s">
        <v>169</v>
      </c>
      <c r="J113" s="20" t="s">
        <v>169</v>
      </c>
      <c r="L113" s="45"/>
      <c r="M113" s="45"/>
    </row>
    <row r="114" spans="1:20">
      <c r="A114" s="3" cm="1">
        <f t="array" aca="1" ref="A114" ca="1">INDIRECT("A"&amp;ROW()-1)</f>
        <v>59</v>
      </c>
      <c r="B114" s="3" t="s">
        <v>901</v>
      </c>
      <c r="F114" s="55" t="str">
        <f t="shared" si="1"/>
        <v>FALSE</v>
      </c>
      <c r="G114" s="5" t="s">
        <v>89</v>
      </c>
      <c r="H114" s="80">
        <v>13</v>
      </c>
      <c r="I114" s="7" t="s">
        <v>89</v>
      </c>
      <c r="J114" s="7" t="s">
        <v>89</v>
      </c>
    </row>
    <row r="115" spans="1:20">
      <c r="A115" s="3" cm="1">
        <f t="array" aca="1" ref="A115" ca="1">INDIRECT("A"&amp;ROW()-1)</f>
        <v>59</v>
      </c>
      <c r="B115" s="3" t="s">
        <v>901</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957</v>
      </c>
      <c r="S116" s="77" t="s">
        <v>788</v>
      </c>
      <c r="T116" s="77" t="s">
        <v>788</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958</v>
      </c>
      <c r="S117" s="77" t="s">
        <v>788</v>
      </c>
      <c r="T117" s="77" t="s">
        <v>788</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959</v>
      </c>
      <c r="S118" s="77" t="s">
        <v>788</v>
      </c>
      <c r="T118" s="77" t="s">
        <v>788</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960</v>
      </c>
      <c r="S119" s="77" t="s">
        <v>789</v>
      </c>
      <c r="T119" s="93" t="s">
        <v>903</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961</v>
      </c>
      <c r="S120" s="77" t="s">
        <v>790</v>
      </c>
      <c r="T120" s="93" t="s">
        <v>904</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569</v>
      </c>
      <c r="L121" s="44">
        <f>L102</f>
        <v>5</v>
      </c>
      <c r="M121" s="42" t="s">
        <v>360</v>
      </c>
      <c r="O121" s="16">
        <f ca="1">A94</f>
        <v>53</v>
      </c>
      <c r="P121" s="8">
        <f ca="1">A95</f>
        <v>54</v>
      </c>
      <c r="Q121" s="22" t="s">
        <v>150</v>
      </c>
      <c r="R121" s="97" t="s">
        <v>962</v>
      </c>
      <c r="S121" s="77" t="s">
        <v>799</v>
      </c>
      <c r="T121" s="93" t="s">
        <v>910</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570</v>
      </c>
      <c r="L122" s="44">
        <f>L102</f>
        <v>5</v>
      </c>
      <c r="M122" s="42" t="s">
        <v>360</v>
      </c>
      <c r="O122" s="16">
        <f ca="1">A94</f>
        <v>53</v>
      </c>
      <c r="P122" s="8">
        <f ca="1">A95</f>
        <v>54</v>
      </c>
      <c r="Q122" s="22" t="s">
        <v>150</v>
      </c>
      <c r="R122" s="97" t="s">
        <v>964</v>
      </c>
      <c r="S122" s="96" t="s">
        <v>800</v>
      </c>
      <c r="T122" s="93" t="s">
        <v>911</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571</v>
      </c>
      <c r="L123" s="44">
        <f>L102</f>
        <v>5</v>
      </c>
      <c r="M123" s="42" t="s">
        <v>360</v>
      </c>
      <c r="O123" s="16">
        <f ca="1">A94</f>
        <v>53</v>
      </c>
      <c r="P123" s="8">
        <f ca="1">A95</f>
        <v>54</v>
      </c>
      <c r="Q123" s="22" t="s">
        <v>150</v>
      </c>
      <c r="R123" s="97" t="s">
        <v>963</v>
      </c>
      <c r="S123" s="96" t="s">
        <v>801</v>
      </c>
      <c r="T123" s="93" t="s">
        <v>912</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572</v>
      </c>
      <c r="L124" s="44">
        <f>L102</f>
        <v>5</v>
      </c>
      <c r="M124" s="42" t="s">
        <v>360</v>
      </c>
      <c r="O124" s="16">
        <f ca="1">A94</f>
        <v>53</v>
      </c>
      <c r="P124" s="8">
        <f ca="1">A95</f>
        <v>54</v>
      </c>
      <c r="Q124" s="22" t="s">
        <v>150</v>
      </c>
      <c r="R124" s="97" t="s">
        <v>965</v>
      </c>
      <c r="S124" s="77" t="s">
        <v>802</v>
      </c>
      <c r="T124" s="77" t="s">
        <v>802</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973</v>
      </c>
      <c r="L125" s="42">
        <f>L102</f>
        <v>5</v>
      </c>
      <c r="M125" s="42" t="s">
        <v>360</v>
      </c>
      <c r="O125" s="16">
        <f ca="1">A94</f>
        <v>53</v>
      </c>
      <c r="P125" s="8">
        <f ca="1">A95</f>
        <v>54</v>
      </c>
      <c r="Q125" s="94" t="s">
        <v>151</v>
      </c>
      <c r="R125" s="97" t="s">
        <v>966</v>
      </c>
      <c r="S125" s="93" t="s">
        <v>784</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968</v>
      </c>
      <c r="S126" s="77" t="s">
        <v>791</v>
      </c>
      <c r="T126" s="93" t="s">
        <v>905</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969</v>
      </c>
      <c r="S127" s="96" t="s">
        <v>967</v>
      </c>
      <c r="T127" s="93" t="s">
        <v>909</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970</v>
      </c>
      <c r="S128" s="77" t="s">
        <v>793</v>
      </c>
      <c r="T128" s="77" t="s">
        <v>793</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971</v>
      </c>
      <c r="S129" s="77" t="s">
        <v>793</v>
      </c>
      <c r="T129" s="77" t="s">
        <v>793</v>
      </c>
    </row>
    <row r="130" spans="1:20" ht="31.2">
      <c r="A130" s="3" cm="1">
        <f t="array" aca="1" ref="A130" ca="1">INDIRECT("A"&amp;ROW()-1)+1</f>
        <v>74</v>
      </c>
      <c r="B130" s="3">
        <v>74</v>
      </c>
      <c r="C130" s="3" t="str">
        <f ca="1">A96&amp;"==True"</f>
        <v>55==True</v>
      </c>
      <c r="D130" s="4" t="s">
        <v>283</v>
      </c>
      <c r="E130" s="5" t="s">
        <v>6</v>
      </c>
      <c r="F130" s="56" t="s">
        <v>135</v>
      </c>
      <c r="G130" s="23" t="s">
        <v>62</v>
      </c>
      <c r="H130" s="80">
        <v>1</v>
      </c>
      <c r="I130" s="7" t="s">
        <v>67</v>
      </c>
      <c r="J130" s="7" t="s">
        <v>67</v>
      </c>
      <c r="K130" s="84" t="s">
        <v>809</v>
      </c>
      <c r="L130" s="3">
        <f>L100</f>
        <v>5</v>
      </c>
      <c r="M130" s="42" t="s">
        <v>360</v>
      </c>
      <c r="R130" s="19" t="s">
        <v>171</v>
      </c>
    </row>
    <row r="131" spans="1:20">
      <c r="A131" s="3" cm="1">
        <f t="array" aca="1" ref="A131" ca="1">INDIRECT("A"&amp;ROW()-1)</f>
        <v>74</v>
      </c>
      <c r="B131" s="3" t="s">
        <v>901</v>
      </c>
      <c r="F131" s="55" t="str">
        <f t="shared" ref="F131:F146" si="2">F130</f>
        <v>FALSE</v>
      </c>
      <c r="G131" s="21" t="s">
        <v>65</v>
      </c>
      <c r="H131" s="80">
        <v>2</v>
      </c>
      <c r="I131" s="7" t="s">
        <v>68</v>
      </c>
      <c r="J131" s="7" t="s">
        <v>68</v>
      </c>
    </row>
    <row r="132" spans="1:20">
      <c r="A132" s="3" cm="1">
        <f t="array" aca="1" ref="A132" ca="1">INDIRECT("A"&amp;ROW()-1)</f>
        <v>74</v>
      </c>
      <c r="B132" s="3" t="s">
        <v>901</v>
      </c>
      <c r="F132" s="55" t="str">
        <f t="shared" si="2"/>
        <v>FALSE</v>
      </c>
      <c r="G132" s="23" t="s">
        <v>66</v>
      </c>
      <c r="H132" s="80">
        <v>3</v>
      </c>
      <c r="I132" s="7" t="s">
        <v>69</v>
      </c>
      <c r="J132" s="34" t="s">
        <v>301</v>
      </c>
      <c r="L132" s="43"/>
      <c r="M132" s="43"/>
      <c r="N132" s="58"/>
    </row>
    <row r="133" spans="1:20">
      <c r="A133" s="3" cm="1">
        <f t="array" aca="1" ref="A133" ca="1">INDIRECT("A"&amp;ROW()-1)</f>
        <v>74</v>
      </c>
      <c r="B133" s="3" t="s">
        <v>901</v>
      </c>
      <c r="F133" s="55" t="str">
        <f t="shared" si="2"/>
        <v>FALSE</v>
      </c>
      <c r="G133" s="29" t="s">
        <v>70</v>
      </c>
      <c r="H133" s="80">
        <v>4</v>
      </c>
      <c r="I133" s="7" t="s">
        <v>71</v>
      </c>
      <c r="J133" s="7" t="s">
        <v>71</v>
      </c>
      <c r="N133" s="58"/>
    </row>
    <row r="134" spans="1:20">
      <c r="A134" s="3" cm="1">
        <f t="array" aca="1" ref="A134" ca="1">INDIRECT("A"&amp;ROW()-1)</f>
        <v>74</v>
      </c>
      <c r="B134" s="3" t="s">
        <v>901</v>
      </c>
      <c r="F134" s="55" t="str">
        <f t="shared" si="2"/>
        <v>FALSE</v>
      </c>
      <c r="G134" s="29" t="s">
        <v>235</v>
      </c>
      <c r="H134" s="80">
        <v>5</v>
      </c>
      <c r="I134" s="28" t="s">
        <v>236</v>
      </c>
      <c r="J134" s="28" t="s">
        <v>236</v>
      </c>
      <c r="L134" s="46"/>
      <c r="M134" s="46"/>
      <c r="N134" s="58"/>
    </row>
    <row r="135" spans="1:20">
      <c r="A135" s="3" cm="1">
        <f t="array" aca="1" ref="A135" ca="1">INDIRECT("A"&amp;ROW()-1)</f>
        <v>74</v>
      </c>
      <c r="B135" s="3" t="s">
        <v>901</v>
      </c>
      <c r="F135" s="55" t="str">
        <f t="shared" si="2"/>
        <v>FALSE</v>
      </c>
      <c r="G135" s="35" t="s">
        <v>284</v>
      </c>
      <c r="H135" s="80">
        <v>6</v>
      </c>
      <c r="I135" s="34" t="s">
        <v>284</v>
      </c>
      <c r="J135" s="34" t="s">
        <v>284</v>
      </c>
      <c r="L135" s="43"/>
      <c r="M135" s="43"/>
      <c r="N135" s="58"/>
    </row>
    <row r="136" spans="1:20">
      <c r="A136" s="3" cm="1">
        <f t="array" aca="1" ref="A136" ca="1">INDIRECT("A"&amp;ROW()-1)</f>
        <v>74</v>
      </c>
      <c r="B136" s="3" t="s">
        <v>901</v>
      </c>
      <c r="F136" s="55" t="str">
        <f t="shared" si="2"/>
        <v>FALSE</v>
      </c>
      <c r="G136" s="23" t="s">
        <v>63</v>
      </c>
      <c r="H136" s="80">
        <v>7</v>
      </c>
      <c r="I136" s="7" t="s">
        <v>63</v>
      </c>
      <c r="J136" s="7" t="s">
        <v>63</v>
      </c>
    </row>
    <row r="137" spans="1:20">
      <c r="A137" s="3" cm="1">
        <f t="array" aca="1" ref="A137" ca="1">INDIRECT("A"&amp;ROW()-1)</f>
        <v>74</v>
      </c>
      <c r="B137" s="3" t="s">
        <v>901</v>
      </c>
      <c r="F137" s="55" t="str">
        <f t="shared" si="2"/>
        <v>FALSE</v>
      </c>
      <c r="G137" s="23" t="s">
        <v>64</v>
      </c>
      <c r="H137" s="80">
        <v>8</v>
      </c>
      <c r="I137" s="7" t="s">
        <v>64</v>
      </c>
      <c r="J137" s="7" t="s">
        <v>64</v>
      </c>
    </row>
    <row r="138" spans="1:20">
      <c r="A138" s="3" cm="1">
        <f t="array" aca="1" ref="A138" ca="1">INDIRECT("A"&amp;ROW()-1)</f>
        <v>74</v>
      </c>
      <c r="B138" s="3" t="s">
        <v>901</v>
      </c>
      <c r="F138" s="55" t="str">
        <f t="shared" si="2"/>
        <v>FALSE</v>
      </c>
      <c r="G138" s="23" t="s">
        <v>85</v>
      </c>
      <c r="H138" s="80">
        <v>9</v>
      </c>
      <c r="I138" s="7" t="s">
        <v>85</v>
      </c>
      <c r="J138" s="7" t="s">
        <v>85</v>
      </c>
    </row>
    <row r="139" spans="1:20">
      <c r="A139" s="3" cm="1">
        <f t="array" aca="1" ref="A139" ca="1">INDIRECT("A"&amp;ROW()-1)</f>
        <v>74</v>
      </c>
      <c r="B139" s="3" t="s">
        <v>901</v>
      </c>
      <c r="F139" s="55" t="str">
        <f t="shared" si="2"/>
        <v>FALSE</v>
      </c>
      <c r="G139" s="23" t="s">
        <v>86</v>
      </c>
      <c r="H139" s="80">
        <v>10</v>
      </c>
      <c r="I139" s="7" t="s">
        <v>86</v>
      </c>
      <c r="J139" s="7" t="s">
        <v>86</v>
      </c>
    </row>
    <row r="140" spans="1:20">
      <c r="A140" s="3" cm="1">
        <f t="array" aca="1" ref="A140" ca="1">INDIRECT("A"&amp;ROW()-1)</f>
        <v>74</v>
      </c>
      <c r="B140" s="3" t="s">
        <v>901</v>
      </c>
      <c r="F140" s="55" t="str">
        <f t="shared" si="2"/>
        <v>FALSE</v>
      </c>
      <c r="G140" s="23" t="s">
        <v>87</v>
      </c>
      <c r="H140" s="80">
        <v>11</v>
      </c>
      <c r="I140" s="7" t="s">
        <v>87</v>
      </c>
      <c r="J140" s="7" t="s">
        <v>87</v>
      </c>
    </row>
    <row r="141" spans="1:20">
      <c r="A141" s="3" cm="1">
        <f t="array" aca="1" ref="A141" ca="1">INDIRECT("A"&amp;ROW()-1)</f>
        <v>74</v>
      </c>
      <c r="B141" s="3" t="s">
        <v>901</v>
      </c>
      <c r="F141" s="55" t="str">
        <f t="shared" si="2"/>
        <v>FALSE</v>
      </c>
      <c r="G141" s="23" t="s">
        <v>121</v>
      </c>
      <c r="H141" s="80">
        <v>12</v>
      </c>
      <c r="I141" s="53" t="s">
        <v>506</v>
      </c>
      <c r="J141" s="7" t="s">
        <v>506</v>
      </c>
    </row>
    <row r="142" spans="1:20">
      <c r="A142" s="3" cm="1">
        <f t="array" aca="1" ref="A142" ca="1">INDIRECT("A"&amp;ROW()-1)</f>
        <v>74</v>
      </c>
      <c r="B142" s="3" t="s">
        <v>901</v>
      </c>
      <c r="F142" s="55" t="str">
        <f t="shared" si="2"/>
        <v>FALSE</v>
      </c>
      <c r="G142" s="23" t="s">
        <v>88</v>
      </c>
      <c r="H142" s="80">
        <v>13</v>
      </c>
      <c r="I142" s="7" t="s">
        <v>88</v>
      </c>
      <c r="J142" s="7" t="s">
        <v>88</v>
      </c>
    </row>
    <row r="143" spans="1:20">
      <c r="A143" s="3" cm="1">
        <f t="array" aca="1" ref="A143" ca="1">INDIRECT("A"&amp;ROW()-1)</f>
        <v>74</v>
      </c>
      <c r="B143" s="3" t="s">
        <v>901</v>
      </c>
      <c r="F143" s="55" t="str">
        <f t="shared" si="2"/>
        <v>FALSE</v>
      </c>
      <c r="G143" s="23" t="s">
        <v>91</v>
      </c>
      <c r="H143" s="80">
        <v>14</v>
      </c>
      <c r="I143" s="7" t="s">
        <v>91</v>
      </c>
      <c r="J143" s="7" t="s">
        <v>91</v>
      </c>
    </row>
    <row r="144" spans="1:20">
      <c r="A144" s="3" cm="1">
        <f t="array" aca="1" ref="A144" ca="1">INDIRECT("A"&amp;ROW()-1)</f>
        <v>74</v>
      </c>
      <c r="B144" s="3" t="s">
        <v>901</v>
      </c>
      <c r="F144" s="55" t="str">
        <f t="shared" si="2"/>
        <v>FALSE</v>
      </c>
      <c r="G144" s="21" t="s">
        <v>169</v>
      </c>
      <c r="H144" s="80">
        <v>15</v>
      </c>
      <c r="I144" s="20" t="s">
        <v>169</v>
      </c>
      <c r="J144" s="20" t="s">
        <v>169</v>
      </c>
      <c r="L144" s="45"/>
      <c r="M144" s="45"/>
      <c r="N144" s="58"/>
    </row>
    <row r="145" spans="1:20">
      <c r="A145" s="3" cm="1">
        <f t="array" aca="1" ref="A145" ca="1">INDIRECT("A"&amp;ROW()-1)</f>
        <v>74</v>
      </c>
      <c r="B145" s="3" t="s">
        <v>901</v>
      </c>
      <c r="F145" s="55" t="str">
        <f t="shared" si="2"/>
        <v>FALSE</v>
      </c>
      <c r="G145" s="23" t="s">
        <v>89</v>
      </c>
      <c r="H145" s="80">
        <v>16</v>
      </c>
      <c r="I145" s="7" t="s">
        <v>89</v>
      </c>
      <c r="J145" s="7" t="s">
        <v>89</v>
      </c>
      <c r="N145" s="58"/>
    </row>
    <row r="146" spans="1:20">
      <c r="A146" s="3" cm="1">
        <f t="array" aca="1" ref="A146" ca="1">INDIRECT("A"&amp;ROW()-1)</f>
        <v>74</v>
      </c>
      <c r="B146" s="3" t="s">
        <v>901</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972</v>
      </c>
      <c r="S147" s="77" t="s">
        <v>794</v>
      </c>
      <c r="T147" s="77" t="s">
        <v>794</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975</v>
      </c>
      <c r="L148" s="16">
        <f>L130</f>
        <v>5</v>
      </c>
      <c r="M148" s="42" t="s">
        <v>360</v>
      </c>
      <c r="O148" s="16">
        <f ca="1">A100</f>
        <v>57</v>
      </c>
      <c r="P148" s="8">
        <f ca="1">A101</f>
        <v>58</v>
      </c>
      <c r="Q148" s="22" t="s">
        <v>151</v>
      </c>
      <c r="R148" s="97" t="s">
        <v>977</v>
      </c>
      <c r="S148" s="77" t="s">
        <v>784</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976</v>
      </c>
      <c r="L149" s="16">
        <f>L130</f>
        <v>5</v>
      </c>
      <c r="M149" s="42" t="s">
        <v>360</v>
      </c>
      <c r="O149" s="16">
        <f ca="1">A100</f>
        <v>57</v>
      </c>
      <c r="P149" s="8">
        <f ca="1">A101</f>
        <v>58</v>
      </c>
      <c r="Q149" s="22" t="s">
        <v>151</v>
      </c>
      <c r="R149" s="97" t="s">
        <v>977</v>
      </c>
      <c r="S149" s="77" t="s">
        <v>784</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978</v>
      </c>
      <c r="S150" s="77" t="s">
        <v>784</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979</v>
      </c>
      <c r="S151" s="77" t="s">
        <v>784</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980</v>
      </c>
      <c r="S152" s="77" t="s">
        <v>784</v>
      </c>
      <c r="T152" s="93" t="s">
        <v>908</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960</v>
      </c>
      <c r="S153" s="5" t="s">
        <v>789</v>
      </c>
      <c r="T153" s="93" t="s">
        <v>903</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961</v>
      </c>
      <c r="S154" s="93" t="s">
        <v>907</v>
      </c>
      <c r="T154" s="93" t="s">
        <v>904</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569</v>
      </c>
      <c r="L155" s="16">
        <f>L130</f>
        <v>5</v>
      </c>
      <c r="M155" s="42" t="s">
        <v>360</v>
      </c>
      <c r="O155" s="16">
        <f ca="1">A100</f>
        <v>57</v>
      </c>
      <c r="P155" s="8">
        <f ca="1">A101</f>
        <v>58</v>
      </c>
      <c r="Q155" s="22" t="s">
        <v>150</v>
      </c>
      <c r="R155" s="97" t="s">
        <v>962</v>
      </c>
      <c r="S155" s="77" t="s">
        <v>799</v>
      </c>
      <c r="T155" s="93" t="s">
        <v>910</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570</v>
      </c>
      <c r="L156" s="16">
        <f>L130</f>
        <v>5</v>
      </c>
      <c r="M156" s="42" t="s">
        <v>360</v>
      </c>
      <c r="O156" s="16">
        <f ca="1">A100</f>
        <v>57</v>
      </c>
      <c r="P156" s="8">
        <f ca="1">A101</f>
        <v>58</v>
      </c>
      <c r="Q156" s="22" t="s">
        <v>150</v>
      </c>
      <c r="R156" s="97" t="s">
        <v>964</v>
      </c>
      <c r="S156" s="77" t="s">
        <v>800</v>
      </c>
      <c r="T156" s="93" t="s">
        <v>911</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571</v>
      </c>
      <c r="L157" s="16">
        <f>L130</f>
        <v>5</v>
      </c>
      <c r="M157" s="42" t="s">
        <v>360</v>
      </c>
      <c r="O157" s="16">
        <f ca="1">A100</f>
        <v>57</v>
      </c>
      <c r="P157" s="8">
        <f ca="1">A101</f>
        <v>58</v>
      </c>
      <c r="Q157" s="22" t="s">
        <v>150</v>
      </c>
      <c r="R157" s="97" t="s">
        <v>963</v>
      </c>
      <c r="S157" s="77" t="s">
        <v>801</v>
      </c>
      <c r="T157" s="93" t="s">
        <v>912</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572</v>
      </c>
      <c r="L158" s="16">
        <f>L130</f>
        <v>5</v>
      </c>
      <c r="M158" s="42" t="s">
        <v>360</v>
      </c>
      <c r="O158" s="16">
        <f ca="1">A100</f>
        <v>57</v>
      </c>
      <c r="P158" s="8">
        <f ca="1">A101</f>
        <v>58</v>
      </c>
      <c r="Q158" s="22" t="s">
        <v>150</v>
      </c>
      <c r="R158" s="97" t="s">
        <v>965</v>
      </c>
      <c r="S158" s="5" t="s">
        <v>787</v>
      </c>
      <c r="T158" s="93" t="s">
        <v>802</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573</v>
      </c>
      <c r="L159" s="16">
        <f>L130</f>
        <v>5</v>
      </c>
      <c r="M159" s="42" t="s">
        <v>360</v>
      </c>
      <c r="O159" s="16">
        <f ca="1">A100</f>
        <v>57</v>
      </c>
      <c r="P159" s="8">
        <f ca="1">A101</f>
        <v>58</v>
      </c>
      <c r="Q159" s="94" t="s">
        <v>151</v>
      </c>
      <c r="R159" s="97" t="s">
        <v>966</v>
      </c>
      <c r="S159" s="93" t="s">
        <v>784</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968</v>
      </c>
      <c r="S160" s="5" t="s">
        <v>791</v>
      </c>
      <c r="T160" s="93" t="s">
        <v>905</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969</v>
      </c>
      <c r="S161" s="5" t="s">
        <v>792</v>
      </c>
      <c r="T161" s="93" t="s">
        <v>909</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970</v>
      </c>
      <c r="S162" s="5" t="s">
        <v>793</v>
      </c>
      <c r="T162" s="5" t="s">
        <v>793</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971</v>
      </c>
      <c r="S163" s="5" t="s">
        <v>793</v>
      </c>
      <c r="T163" s="5" t="s">
        <v>793</v>
      </c>
    </row>
    <row r="164" spans="1:20" ht="31.2">
      <c r="A164" s="3" cm="1">
        <f t="array" aca="1" ref="A164" ca="1">INDIRECT("A"&amp;ROW()-1)+1</f>
        <v>92</v>
      </c>
      <c r="B164" s="3">
        <v>217</v>
      </c>
      <c r="C164" s="3" t="str">
        <f ca="1">A12&amp;"any['光学']"</f>
        <v>7any['光学']</v>
      </c>
      <c r="D164" s="4" t="s">
        <v>1046</v>
      </c>
      <c r="E164" s="11" t="s">
        <v>148</v>
      </c>
      <c r="F164" s="45" t="s">
        <v>126</v>
      </c>
      <c r="H164" s="80">
        <v>1</v>
      </c>
      <c r="I164" s="15" t="s">
        <v>130</v>
      </c>
      <c r="J164" s="15"/>
      <c r="K164" s="101" t="s">
        <v>1047</v>
      </c>
      <c r="L164" s="44">
        <f>L89</f>
        <v>5</v>
      </c>
      <c r="M164" s="71" t="s">
        <v>355</v>
      </c>
      <c r="O164" s="16"/>
      <c r="P164" s="8"/>
      <c r="Q164" s="9"/>
      <c r="R164" s="98" t="s">
        <v>1048</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901</v>
      </c>
      <c r="F166" s="55" t="str">
        <f>F165</f>
        <v>FALSE</v>
      </c>
      <c r="G166" s="5" t="s">
        <v>81</v>
      </c>
      <c r="H166" s="80">
        <v>2</v>
      </c>
      <c r="I166" s="18" t="s">
        <v>81</v>
      </c>
      <c r="J166" s="18" t="s">
        <v>81</v>
      </c>
      <c r="L166" s="47"/>
      <c r="M166" s="47"/>
      <c r="N166" s="51"/>
    </row>
    <row r="167" spans="1:20">
      <c r="A167" s="3" cm="1">
        <f t="array" aca="1" ref="A167" ca="1">INDIRECT("A"&amp;ROW()-1)</f>
        <v>93</v>
      </c>
      <c r="B167" s="3" t="s">
        <v>901</v>
      </c>
      <c r="F167" s="55" t="str">
        <f>F166</f>
        <v>FALSE</v>
      </c>
      <c r="G167" s="5" t="s">
        <v>82</v>
      </c>
      <c r="H167" s="80">
        <v>3</v>
      </c>
      <c r="I167" s="18" t="s">
        <v>82</v>
      </c>
      <c r="J167" s="18" t="s">
        <v>82</v>
      </c>
      <c r="L167" s="47"/>
      <c r="M167" s="47"/>
      <c r="N167" s="51"/>
    </row>
    <row r="168" spans="1:20">
      <c r="A168" s="3" cm="1">
        <f t="array" aca="1" ref="A168" ca="1">INDIRECT("A"&amp;ROW()-1)</f>
        <v>93</v>
      </c>
      <c r="B168" s="3" t="s">
        <v>901</v>
      </c>
      <c r="F168" s="55" t="str">
        <f>F167</f>
        <v>FALSE</v>
      </c>
      <c r="G168" s="5" t="s">
        <v>83</v>
      </c>
      <c r="H168" s="80">
        <v>4</v>
      </c>
      <c r="I168" s="18" t="s">
        <v>83</v>
      </c>
      <c r="J168" s="18" t="s">
        <v>83</v>
      </c>
      <c r="L168" s="47"/>
      <c r="M168" s="47"/>
      <c r="N168" s="51"/>
      <c r="Q168" s="18"/>
    </row>
    <row r="169" spans="1:20">
      <c r="A169" s="3" cm="1">
        <f t="array" aca="1" ref="A169" ca="1">INDIRECT("A"&amp;ROW()-1)</f>
        <v>93</v>
      </c>
      <c r="B169" s="3" t="s">
        <v>901</v>
      </c>
      <c r="F169" s="55" t="str">
        <f>F168</f>
        <v>FALSE</v>
      </c>
      <c r="G169" s="5" t="s">
        <v>84</v>
      </c>
      <c r="H169" s="80">
        <v>5</v>
      </c>
      <c r="I169" s="18" t="s">
        <v>84</v>
      </c>
      <c r="J169" s="18" t="s">
        <v>84</v>
      </c>
      <c r="L169" s="47"/>
      <c r="M169" s="47"/>
      <c r="N169" s="51"/>
    </row>
    <row r="170" spans="1:20">
      <c r="A170" s="3" cm="1">
        <f t="array" aca="1" ref="A170" ca="1">INDIRECT("A"&amp;ROW()-1)</f>
        <v>93</v>
      </c>
      <c r="B170" s="3" t="s">
        <v>901</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97" t="s">
        <v>981</v>
      </c>
      <c r="S171" s="93" t="s">
        <v>784</v>
      </c>
      <c r="T171" s="93" t="s">
        <v>908</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97" t="s">
        <v>982</v>
      </c>
      <c r="S172" s="93" t="s">
        <v>784</v>
      </c>
      <c r="T172" s="93" t="s">
        <v>908</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984</v>
      </c>
      <c r="L173" s="16">
        <f>L165</f>
        <v>6</v>
      </c>
      <c r="M173" s="42" t="s">
        <v>360</v>
      </c>
      <c r="O173" s="16">
        <f ca="1">A100</f>
        <v>57</v>
      </c>
      <c r="P173" s="8">
        <f ca="1">A101</f>
        <v>58</v>
      </c>
      <c r="Q173" s="20" t="s">
        <v>153</v>
      </c>
      <c r="R173" s="97" t="s">
        <v>983</v>
      </c>
      <c r="S173" s="77" t="s">
        <v>795</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986</v>
      </c>
      <c r="L174" s="16">
        <f>L165</f>
        <v>6</v>
      </c>
      <c r="M174" s="42" t="s">
        <v>360</v>
      </c>
      <c r="O174" s="16">
        <f ca="1">A100</f>
        <v>57</v>
      </c>
      <c r="P174" s="8">
        <f ca="1">A101</f>
        <v>58</v>
      </c>
      <c r="Q174" s="22" t="s">
        <v>153</v>
      </c>
      <c r="R174" s="97" t="s">
        <v>985</v>
      </c>
      <c r="S174" s="93" t="s">
        <v>784</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987</v>
      </c>
      <c r="L175" s="16">
        <f>L165</f>
        <v>6</v>
      </c>
      <c r="M175" s="42" t="s">
        <v>360</v>
      </c>
      <c r="O175" s="16">
        <f ca="1">A100</f>
        <v>57</v>
      </c>
      <c r="P175" s="8">
        <f ca="1">A101</f>
        <v>58</v>
      </c>
      <c r="Q175" s="22" t="s">
        <v>153</v>
      </c>
      <c r="R175" s="97" t="s">
        <v>988</v>
      </c>
      <c r="S175" s="93" t="s">
        <v>784</v>
      </c>
    </row>
    <row r="176" spans="1:20" ht="31.2">
      <c r="A176" s="3" cm="1">
        <f t="array" aca="1" ref="A176" ca="1">INDIRECT("A"&amp;ROW()-1)+1</f>
        <v>99</v>
      </c>
      <c r="B176" s="3">
        <v>98</v>
      </c>
      <c r="C176" s="3" t="str">
        <f ca="1">A40&amp;"==True"</f>
        <v>21==True</v>
      </c>
      <c r="D176" s="4" t="s">
        <v>505</v>
      </c>
      <c r="E176" s="21" t="s">
        <v>173</v>
      </c>
      <c r="F176" s="45" t="s">
        <v>174</v>
      </c>
      <c r="G176" s="21" t="s">
        <v>175</v>
      </c>
      <c r="H176" s="80">
        <v>1</v>
      </c>
      <c r="I176" s="21" t="s">
        <v>178</v>
      </c>
      <c r="J176" s="35" t="s">
        <v>63</v>
      </c>
      <c r="K176" s="96" t="s">
        <v>915</v>
      </c>
      <c r="L176" s="43">
        <f>L165</f>
        <v>6</v>
      </c>
      <c r="M176" s="42" t="s">
        <v>355</v>
      </c>
      <c r="N176" s="51"/>
      <c r="O176" s="16"/>
      <c r="P176" s="8"/>
      <c r="Q176" s="22"/>
      <c r="R176" s="92" t="s">
        <v>821</v>
      </c>
    </row>
    <row r="177" spans="1:19">
      <c r="A177" s="3" cm="1">
        <f t="array" aca="1" ref="A177" ca="1">INDIRECT("A"&amp;ROW()-1)</f>
        <v>99</v>
      </c>
      <c r="B177" s="3" t="s">
        <v>901</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901</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901</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901</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901</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t="s">
        <v>489</v>
      </c>
      <c r="R182" s="98" t="s">
        <v>995</v>
      </c>
    </row>
    <row r="183" spans="1:19">
      <c r="A183" s="3" cm="1">
        <f t="array" aca="1" ref="A183" ca="1">INDIRECT("A"&amp;ROW()-1)</f>
        <v>100</v>
      </c>
      <c r="B183" s="3" t="s">
        <v>901</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989</v>
      </c>
      <c r="S184" s="77" t="s">
        <v>796</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t="s">
        <v>490</v>
      </c>
      <c r="R185" s="98" t="s">
        <v>996</v>
      </c>
    </row>
    <row r="186" spans="1:19">
      <c r="A186" s="3" cm="1">
        <f t="array" aca="1" ref="A186" ca="1">INDIRECT("A"&amp;ROW()-1)</f>
        <v>102</v>
      </c>
      <c r="B186" s="3" t="s">
        <v>901</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913</v>
      </c>
      <c r="S187" s="93" t="s">
        <v>908</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491</v>
      </c>
      <c r="R188" s="98" t="s">
        <v>997</v>
      </c>
    </row>
    <row r="189" spans="1:19">
      <c r="A189" s="3" cm="1">
        <f t="array" aca="1" ref="A189" ca="1">INDIRECT("A"&amp;ROW()-1)</f>
        <v>104</v>
      </c>
      <c r="B189" s="3" t="s">
        <v>901</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991</v>
      </c>
      <c r="S190" s="96" t="s">
        <v>990</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t="s">
        <v>492</v>
      </c>
      <c r="R191" s="98" t="s">
        <v>998</v>
      </c>
    </row>
    <row r="192" spans="1:19">
      <c r="A192" s="3" cm="1">
        <f t="array" aca="1" ref="A192" ca="1">INDIRECT("A"&amp;ROW()-1)</f>
        <v>106</v>
      </c>
      <c r="B192" s="3" t="s">
        <v>901</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992</v>
      </c>
      <c r="L193" s="44">
        <f>L191</f>
        <v>11</v>
      </c>
      <c r="M193" s="42" t="s">
        <v>355</v>
      </c>
      <c r="O193" s="16"/>
      <c r="P193" s="8"/>
      <c r="Q193" s="22" t="s">
        <v>153</v>
      </c>
      <c r="R193" s="98" t="s">
        <v>999</v>
      </c>
      <c r="S193" s="77" t="s">
        <v>796</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493</v>
      </c>
      <c r="R194" s="98" t="s">
        <v>1000</v>
      </c>
    </row>
    <row r="195" spans="1:19">
      <c r="A195" s="3" cm="1">
        <f t="array" aca="1" ref="A195" ca="1">INDIRECT("A"&amp;ROW()-1)</f>
        <v>108</v>
      </c>
      <c r="B195" s="3" t="s">
        <v>901</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993</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494</v>
      </c>
      <c r="R197" s="98" t="s">
        <v>1001</v>
      </c>
    </row>
    <row r="198" spans="1:19">
      <c r="A198" s="3" cm="1">
        <f t="array" aca="1" ref="A198" ca="1">INDIRECT("A"&amp;ROW()-1)</f>
        <v>110</v>
      </c>
      <c r="B198" s="3" t="s">
        <v>901</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495</v>
      </c>
      <c r="R199" s="98" t="s">
        <v>1001</v>
      </c>
    </row>
    <row r="200" spans="1:19">
      <c r="A200" s="3" cm="1">
        <f t="array" aca="1" ref="A200" ca="1">INDIRECT("A"&amp;ROW()-1)</f>
        <v>111</v>
      </c>
      <c r="B200" s="3" t="s">
        <v>901</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496</v>
      </c>
      <c r="R201" s="98" t="s">
        <v>1001</v>
      </c>
    </row>
    <row r="202" spans="1:19">
      <c r="A202" s="3" cm="1">
        <f t="array" aca="1" ref="A202" ca="1">INDIRECT("A"&amp;ROW()-1)</f>
        <v>112</v>
      </c>
      <c r="B202" s="3" t="s">
        <v>901</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544</v>
      </c>
      <c r="E203" s="5" t="s">
        <v>5</v>
      </c>
      <c r="F203" s="56" t="s">
        <v>126</v>
      </c>
      <c r="G203" s="5" t="s">
        <v>1</v>
      </c>
      <c r="H203" s="80">
        <v>1</v>
      </c>
      <c r="I203" s="7" t="b">
        <v>1</v>
      </c>
      <c r="J203" s="52" t="s">
        <v>427</v>
      </c>
      <c r="K203" s="52" t="s">
        <v>431</v>
      </c>
      <c r="L203" s="48">
        <f>L197</f>
        <v>13</v>
      </c>
      <c r="M203" s="42" t="s">
        <v>362</v>
      </c>
      <c r="N203" s="51" t="s">
        <v>497</v>
      </c>
      <c r="R203" s="98" t="s">
        <v>1002</v>
      </c>
    </row>
    <row r="204" spans="1:19">
      <c r="A204" s="3" cm="1">
        <f t="array" aca="1" ref="A204" ca="1">INDIRECT("A"&amp;ROW()-1)</f>
        <v>113</v>
      </c>
      <c r="B204" s="3" t="s">
        <v>901</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1003</v>
      </c>
    </row>
    <row r="206" spans="1:19">
      <c r="A206" s="3" cm="1">
        <f t="array" aca="1" ref="A206" ca="1">INDIRECT("A"&amp;ROW()-1)</f>
        <v>114</v>
      </c>
      <c r="B206" s="3" t="s">
        <v>901</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1004</v>
      </c>
    </row>
    <row r="208" spans="1:19" ht="31.2">
      <c r="A208" s="3" cm="1">
        <f t="array" aca="1" ref="A208" ca="1">INDIRECT("A"&amp;ROW()-1)+1</f>
        <v>116</v>
      </c>
      <c r="B208" s="3">
        <v>115</v>
      </c>
      <c r="C208" s="3" t="str">
        <f ca="1">A15&amp;"any['结构']"</f>
        <v>7any['结构']</v>
      </c>
      <c r="D208" s="4" t="s">
        <v>805</v>
      </c>
      <c r="E208" s="5" t="s">
        <v>5</v>
      </c>
      <c r="F208" s="56" t="s">
        <v>135</v>
      </c>
      <c r="G208" s="5" t="s">
        <v>1</v>
      </c>
      <c r="H208" s="80">
        <v>1</v>
      </c>
      <c r="I208" s="7" t="b">
        <v>1</v>
      </c>
      <c r="J208" s="37" t="s">
        <v>267</v>
      </c>
      <c r="L208" s="48">
        <f>L205</f>
        <v>14</v>
      </c>
      <c r="M208" s="42" t="s">
        <v>361</v>
      </c>
      <c r="N208" s="51"/>
      <c r="R208" s="98" t="s">
        <v>1005</v>
      </c>
    </row>
    <row r="209" spans="1:19">
      <c r="A209" s="3" cm="1">
        <f t="array" aca="1" ref="A209" ca="1">INDIRECT("A"&amp;ROW()-1)</f>
        <v>116</v>
      </c>
      <c r="B209" s="3" t="s">
        <v>901</v>
      </c>
      <c r="F209" s="55" t="str">
        <f>F208</f>
        <v>FALSE</v>
      </c>
      <c r="G209" s="5" t="s">
        <v>2</v>
      </c>
      <c r="H209" s="80">
        <v>2</v>
      </c>
      <c r="I209" s="7" t="b">
        <v>0</v>
      </c>
      <c r="J209" s="52" t="s">
        <v>428</v>
      </c>
      <c r="K209" s="70" t="s">
        <v>675</v>
      </c>
      <c r="L209" s="48"/>
      <c r="M209" s="48"/>
    </row>
    <row r="210" spans="1:19">
      <c r="A210" s="3" cm="1">
        <f t="array" aca="1" ref="A210" ca="1">INDIRECT("A"&amp;ROW()-1)+1</f>
        <v>117</v>
      </c>
      <c r="B210" s="3">
        <v>116</v>
      </c>
      <c r="C210" s="3" t="str">
        <f ca="1">A208&amp;"==True"</f>
        <v>116==True</v>
      </c>
      <c r="D210" s="4" t="s">
        <v>674</v>
      </c>
      <c r="E210" s="11" t="s">
        <v>148</v>
      </c>
      <c r="F210" s="46" t="s">
        <v>126</v>
      </c>
      <c r="H210" s="80">
        <v>1</v>
      </c>
      <c r="I210" s="15" t="s">
        <v>130</v>
      </c>
      <c r="J210" s="15"/>
      <c r="K210" s="70" t="s">
        <v>676</v>
      </c>
      <c r="L210" s="44">
        <f>L208</f>
        <v>14</v>
      </c>
      <c r="M210" s="42" t="s">
        <v>361</v>
      </c>
      <c r="O210" s="16"/>
      <c r="P210" s="8"/>
      <c r="Q210" s="18"/>
      <c r="R210" s="98" t="s">
        <v>1006</v>
      </c>
    </row>
    <row r="211" spans="1:19" ht="31.2">
      <c r="A211" s="3" cm="1">
        <f t="array" aca="1" ref="A211" ca="1">INDIRECT("A"&amp;ROW()-1)+1</f>
        <v>118</v>
      </c>
      <c r="B211" s="3">
        <v>117</v>
      </c>
      <c r="C211" s="3" t="str">
        <f ca="1">A8&amp;"==整机 and "&amp;A12&amp;"any['结构']"</f>
        <v>5==整机 and 7any['结构']</v>
      </c>
      <c r="D211" s="4" t="s">
        <v>677</v>
      </c>
      <c r="E211" s="68" t="s">
        <v>5</v>
      </c>
      <c r="F211" s="56" t="s">
        <v>135</v>
      </c>
      <c r="G211" s="5" t="s">
        <v>1</v>
      </c>
      <c r="H211" s="80">
        <v>1</v>
      </c>
      <c r="I211" s="7" t="b">
        <v>1</v>
      </c>
      <c r="J211" s="37" t="s">
        <v>267</v>
      </c>
      <c r="L211" s="48">
        <f>L205</f>
        <v>14</v>
      </c>
      <c r="M211" s="71" t="s">
        <v>366</v>
      </c>
      <c r="N211" s="51"/>
      <c r="R211" s="98" t="s">
        <v>1007</v>
      </c>
    </row>
    <row r="212" spans="1:19">
      <c r="A212" s="3" cm="1">
        <f t="array" aca="1" ref="A212" ca="1">INDIRECT("A"&amp;ROW()-1)</f>
        <v>118</v>
      </c>
      <c r="B212" s="3" t="s">
        <v>901</v>
      </c>
      <c r="F212" s="55" t="str">
        <f>F211</f>
        <v>FALSE</v>
      </c>
      <c r="G212" s="5" t="s">
        <v>2</v>
      </c>
      <c r="H212" s="80">
        <v>2</v>
      </c>
      <c r="I212" s="7" t="b">
        <v>0</v>
      </c>
      <c r="J212" s="52" t="s">
        <v>428</v>
      </c>
      <c r="K212" s="70" t="s">
        <v>679</v>
      </c>
      <c r="L212" s="48"/>
      <c r="M212" s="48"/>
    </row>
    <row r="213" spans="1:19" ht="31.2">
      <c r="A213" s="3" cm="1">
        <f t="array" aca="1" ref="A213" ca="1">INDIRECT("A"&amp;ROW()-1)+1</f>
        <v>119</v>
      </c>
      <c r="B213" s="3">
        <v>118</v>
      </c>
      <c r="C213" s="3" t="str">
        <f ca="1">A211&amp;"==True"</f>
        <v>118==True</v>
      </c>
      <c r="D213" s="4" t="s">
        <v>678</v>
      </c>
      <c r="E213" s="11" t="s">
        <v>148</v>
      </c>
      <c r="F213" s="46" t="s">
        <v>126</v>
      </c>
      <c r="H213" s="80">
        <v>1</v>
      </c>
      <c r="I213" s="15" t="s">
        <v>130</v>
      </c>
      <c r="J213" s="15"/>
      <c r="K213" s="70" t="s">
        <v>680</v>
      </c>
      <c r="L213" s="44">
        <f>L211</f>
        <v>14</v>
      </c>
      <c r="M213" s="71" t="s">
        <v>366</v>
      </c>
      <c r="O213" s="16"/>
      <c r="P213" s="8"/>
      <c r="Q213" s="18"/>
      <c r="R213" s="98" t="s">
        <v>1008</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498</v>
      </c>
      <c r="R214" s="98" t="s">
        <v>187</v>
      </c>
    </row>
    <row r="215" spans="1:19">
      <c r="A215" s="3" cm="1">
        <f t="array" aca="1" ref="A215" ca="1">INDIRECT("A"&amp;ROW()-1)</f>
        <v>120</v>
      </c>
      <c r="B215" s="3" t="s">
        <v>901</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1009</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1010</v>
      </c>
    </row>
    <row r="218" spans="1:19">
      <c r="A218" s="3" cm="1">
        <f t="array" aca="1" ref="A218" ca="1">INDIRECT("A"&amp;ROW()-1)</f>
        <v>122</v>
      </c>
      <c r="B218" s="3" t="s">
        <v>901</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994</v>
      </c>
      <c r="S219" s="77" t="s">
        <v>797</v>
      </c>
    </row>
    <row r="220" spans="1:19" ht="46.8">
      <c r="A220" s="3" cm="1">
        <f t="array" aca="1" ref="A220" ca="1">INDIRECT("A"&amp;ROW()-1)+1</f>
        <v>124</v>
      </c>
      <c r="B220" s="3">
        <v>123</v>
      </c>
      <c r="C220" s="3" t="str">
        <f ca="1">A12&amp;"any['结构'] and "&amp;A12&amp;"any['光源'] or "&amp;A12&amp;"any['硬件']"</f>
        <v>7any['结构'] and 7any['光源'] or 7any['硬件']</v>
      </c>
      <c r="D220" s="4" t="s">
        <v>609</v>
      </c>
      <c r="E220" s="5" t="s">
        <v>5</v>
      </c>
      <c r="F220" s="56" t="s">
        <v>135</v>
      </c>
      <c r="G220" s="68" t="s">
        <v>1</v>
      </c>
      <c r="H220" s="80">
        <v>1</v>
      </c>
      <c r="I220" s="7" t="b">
        <v>1</v>
      </c>
      <c r="J220" s="37" t="s">
        <v>267</v>
      </c>
      <c r="K220" s="52"/>
      <c r="L220" s="48">
        <v>15</v>
      </c>
      <c r="M220" s="42" t="s">
        <v>365</v>
      </c>
      <c r="N220" s="70" t="s">
        <v>607</v>
      </c>
      <c r="R220" s="98" t="s">
        <v>1011</v>
      </c>
    </row>
    <row r="221" spans="1:19">
      <c r="A221" s="3" cm="1">
        <f t="array" aca="1" ref="A221" ca="1">INDIRECT("A"&amp;ROW()-1)</f>
        <v>124</v>
      </c>
      <c r="B221" s="3" t="s">
        <v>901</v>
      </c>
      <c r="F221" s="56" t="s">
        <v>135</v>
      </c>
      <c r="G221" s="68" t="s">
        <v>606</v>
      </c>
      <c r="H221" s="80">
        <v>2</v>
      </c>
      <c r="I221" s="7" t="b">
        <v>0</v>
      </c>
      <c r="J221" s="68" t="s">
        <v>428</v>
      </c>
      <c r="K221" s="68" t="s">
        <v>608</v>
      </c>
      <c r="L221" s="48"/>
      <c r="M221" s="42"/>
      <c r="N221" s="70"/>
      <c r="R221" s="39"/>
    </row>
    <row r="222" spans="1:19" ht="49.8" customHeight="1">
      <c r="A222" s="3" cm="1">
        <f t="array" aca="1" ref="A222" ca="1">INDIRECT("A"&amp;ROW()-1)+1</f>
        <v>125</v>
      </c>
      <c r="B222" s="3">
        <v>124</v>
      </c>
      <c r="C222" s="3" t="str">
        <f ca="1">A220&amp;"==True"</f>
        <v>124==True</v>
      </c>
      <c r="D222" s="4" t="s">
        <v>610</v>
      </c>
      <c r="E222" s="11" t="s">
        <v>148</v>
      </c>
      <c r="F222" s="45" t="s">
        <v>126</v>
      </c>
      <c r="H222" s="80">
        <v>1</v>
      </c>
      <c r="I222" s="15" t="s">
        <v>130</v>
      </c>
      <c r="J222" s="15"/>
      <c r="K222" s="70" t="s">
        <v>612</v>
      </c>
      <c r="L222" s="44">
        <f>L220</f>
        <v>15</v>
      </c>
      <c r="M222" s="42" t="s">
        <v>365</v>
      </c>
      <c r="O222" s="16"/>
      <c r="P222" s="8"/>
      <c r="Q222" s="18"/>
      <c r="R222" s="98" t="s">
        <v>763</v>
      </c>
    </row>
    <row r="223" spans="1:19" ht="46.8">
      <c r="A223" s="3" cm="1">
        <f t="array" aca="1" ref="A223" ca="1">INDIRECT("A"&amp;ROW()-1)+1</f>
        <v>126</v>
      </c>
      <c r="B223" s="3">
        <v>216</v>
      </c>
      <c r="C223" s="3" t="str">
        <f ca="1">A15&amp;"any['结构'] and "&amp;A15&amp;"any['光源']"</f>
        <v>7any['结构'] and 7any['光源']</v>
      </c>
      <c r="D223" s="4" t="s">
        <v>1041</v>
      </c>
      <c r="E223" s="5" t="s">
        <v>5</v>
      </c>
      <c r="F223" s="56" t="s">
        <v>135</v>
      </c>
      <c r="G223" s="99" t="s">
        <v>1040</v>
      </c>
      <c r="H223" s="80">
        <v>1</v>
      </c>
      <c r="I223" s="7" t="b">
        <v>1</v>
      </c>
      <c r="J223" s="99" t="s">
        <v>1040</v>
      </c>
      <c r="K223" s="99" t="s">
        <v>1044</v>
      </c>
      <c r="L223" s="48">
        <f>L220</f>
        <v>15</v>
      </c>
      <c r="M223" s="100" t="s">
        <v>355</v>
      </c>
      <c r="N223" s="101"/>
      <c r="R223" s="98" t="s">
        <v>1043</v>
      </c>
    </row>
    <row r="224" spans="1:19">
      <c r="A224" s="3" cm="1">
        <f t="array" aca="1" ref="A224" ca="1">INDIRECT("A"&amp;ROW()-1)</f>
        <v>126</v>
      </c>
      <c r="B224" s="3" t="s">
        <v>901</v>
      </c>
      <c r="F224" s="56" t="s">
        <v>135</v>
      </c>
      <c r="G224" s="99" t="s">
        <v>1039</v>
      </c>
      <c r="H224" s="80">
        <v>2</v>
      </c>
      <c r="I224" s="7" t="b">
        <v>0</v>
      </c>
      <c r="J224" s="99" t="s">
        <v>1039</v>
      </c>
      <c r="K224" s="99" t="s">
        <v>1045</v>
      </c>
      <c r="L224" s="48"/>
      <c r="M224" s="42"/>
      <c r="N224" s="101" t="s">
        <v>1042</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499</v>
      </c>
      <c r="R225" s="83" t="s">
        <v>822</v>
      </c>
    </row>
    <row r="226" spans="1:18">
      <c r="A226" s="3" cm="1">
        <f t="array" aca="1" ref="A226" ca="1">INDIRECT("A"&amp;ROW()-1)</f>
        <v>127</v>
      </c>
      <c r="B226" s="3" t="s">
        <v>901</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500</v>
      </c>
      <c r="R227" s="19" t="s">
        <v>188</v>
      </c>
    </row>
    <row r="228" spans="1:18">
      <c r="A228" s="3" cm="1">
        <f t="array" aca="1" ref="A228" ca="1">INDIRECT("A"&amp;ROW()-1)</f>
        <v>128</v>
      </c>
      <c r="B228" s="3" t="s">
        <v>901</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501</v>
      </c>
      <c r="R230" s="98" t="s">
        <v>1012</v>
      </c>
    </row>
    <row r="231" spans="1:18">
      <c r="A231" s="3" cm="1">
        <f t="array" aca="1" ref="A231" ca="1">INDIRECT("A"&amp;ROW()-1)</f>
        <v>130</v>
      </c>
      <c r="B231" s="3" t="s">
        <v>901</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631</v>
      </c>
      <c r="E233" s="5" t="s">
        <v>5</v>
      </c>
      <c r="F233" s="56" t="s">
        <v>135</v>
      </c>
      <c r="G233" s="5" t="s">
        <v>1</v>
      </c>
      <c r="H233" s="80">
        <v>1</v>
      </c>
      <c r="I233" s="7" t="b">
        <v>1</v>
      </c>
      <c r="J233" s="52" t="s">
        <v>267</v>
      </c>
      <c r="K233" s="51"/>
      <c r="L233" s="43">
        <v>16</v>
      </c>
      <c r="M233" s="42" t="s">
        <v>355</v>
      </c>
      <c r="N233" s="70" t="s">
        <v>632</v>
      </c>
      <c r="R233" s="69" t="s">
        <v>626</v>
      </c>
    </row>
    <row r="234" spans="1:18">
      <c r="A234" s="3" cm="1">
        <f t="array" aca="1" ref="A234" ca="1">INDIRECT("A"&amp;ROW()-1)</f>
        <v>132</v>
      </c>
      <c r="B234" s="3" t="s">
        <v>901</v>
      </c>
      <c r="F234" s="55" t="str">
        <f>F233</f>
        <v>FALSE</v>
      </c>
      <c r="G234" s="5" t="s">
        <v>2</v>
      </c>
      <c r="H234" s="80">
        <v>2</v>
      </c>
      <c r="I234" s="7" t="b">
        <v>0</v>
      </c>
      <c r="J234" s="68" t="s">
        <v>567</v>
      </c>
      <c r="K234" s="70" t="s">
        <v>629</v>
      </c>
      <c r="L234" s="43"/>
      <c r="M234" s="43"/>
    </row>
    <row r="235" spans="1:18">
      <c r="A235" s="3" cm="1">
        <f t="array" aca="1" ref="A235" ca="1">INDIRECT("A"&amp;ROW()-1)+1</f>
        <v>133</v>
      </c>
      <c r="B235" s="3">
        <v>131</v>
      </c>
      <c r="C235" s="3" t="str">
        <f ca="1">A233&amp;"==True"</f>
        <v>132==True</v>
      </c>
      <c r="D235" s="4" t="s">
        <v>640</v>
      </c>
      <c r="E235" s="68" t="s">
        <v>5</v>
      </c>
      <c r="F235" s="56" t="s">
        <v>135</v>
      </c>
      <c r="G235" s="68" t="s">
        <v>639</v>
      </c>
      <c r="H235" s="80">
        <v>1</v>
      </c>
      <c r="I235" s="68" t="s">
        <v>643</v>
      </c>
      <c r="J235" s="68" t="s">
        <v>645</v>
      </c>
      <c r="K235" s="70" t="s">
        <v>647</v>
      </c>
      <c r="L235" s="43">
        <f>L233</f>
        <v>16</v>
      </c>
      <c r="M235" s="42" t="s">
        <v>355</v>
      </c>
      <c r="N235" s="51"/>
      <c r="R235" s="69" t="s">
        <v>652</v>
      </c>
    </row>
    <row r="236" spans="1:18">
      <c r="A236" s="3" cm="1">
        <f t="array" aca="1" ref="A236" ca="1">INDIRECT("A"&amp;ROW()-1)</f>
        <v>133</v>
      </c>
      <c r="B236" s="3" t="s">
        <v>901</v>
      </c>
      <c r="E236" s="68"/>
      <c r="F236" s="56"/>
      <c r="G236" s="68" t="s">
        <v>642</v>
      </c>
      <c r="H236" s="80">
        <v>2</v>
      </c>
      <c r="I236" s="68" t="s">
        <v>642</v>
      </c>
      <c r="J236" s="68" t="s">
        <v>642</v>
      </c>
      <c r="K236" s="70" t="s">
        <v>646</v>
      </c>
      <c r="L236" s="43"/>
      <c r="M236" s="42"/>
      <c r="N236" s="51"/>
      <c r="R236" s="69"/>
    </row>
    <row r="237" spans="1:18">
      <c r="A237" s="3" cm="1">
        <f t="array" aca="1" ref="A237" ca="1">INDIRECT("A"&amp;ROW()-1)</f>
        <v>133</v>
      </c>
      <c r="B237" s="3" t="s">
        <v>901</v>
      </c>
      <c r="F237" s="56" t="s">
        <v>135</v>
      </c>
      <c r="G237" s="68" t="s">
        <v>641</v>
      </c>
      <c r="H237" s="80">
        <v>3</v>
      </c>
      <c r="I237" s="68" t="s">
        <v>641</v>
      </c>
      <c r="J237" s="68" t="s">
        <v>641</v>
      </c>
      <c r="K237" s="70" t="s">
        <v>646</v>
      </c>
      <c r="L237" s="43"/>
      <c r="M237" s="42"/>
      <c r="N237" s="51"/>
      <c r="R237" s="36"/>
    </row>
    <row r="238" spans="1:18" ht="31.2">
      <c r="A238" s="3" cm="1">
        <f t="array" aca="1" ref="A238" ca="1">INDIRECT("A"&amp;ROW()-1)+1</f>
        <v>134</v>
      </c>
      <c r="B238" s="3">
        <v>132</v>
      </c>
      <c r="C238" s="3" t="str">
        <f ca="1">A233&amp;"==True"</f>
        <v>132==True</v>
      </c>
      <c r="D238" s="4" t="s">
        <v>651</v>
      </c>
      <c r="E238" s="68" t="s">
        <v>5</v>
      </c>
      <c r="F238" s="56" t="s">
        <v>135</v>
      </c>
      <c r="G238" s="68" t="s">
        <v>644</v>
      </c>
      <c r="H238" s="80">
        <v>1</v>
      </c>
      <c r="I238" s="7" t="b">
        <v>1</v>
      </c>
      <c r="J238" s="68" t="s">
        <v>650</v>
      </c>
      <c r="K238" s="70" t="s">
        <v>648</v>
      </c>
      <c r="L238" s="43">
        <f>L235</f>
        <v>16</v>
      </c>
      <c r="M238" s="71" t="s">
        <v>654</v>
      </c>
      <c r="N238" s="51"/>
      <c r="R238" s="69" t="s">
        <v>653</v>
      </c>
    </row>
    <row r="239" spans="1:18">
      <c r="A239" s="3" cm="1">
        <f t="array" aca="1" ref="A239" ca="1">INDIRECT("A"&amp;ROW()-1)</f>
        <v>134</v>
      </c>
      <c r="B239" s="3" t="s">
        <v>901</v>
      </c>
      <c r="F239" s="56" t="s">
        <v>135</v>
      </c>
      <c r="G239" s="68" t="s">
        <v>2</v>
      </c>
      <c r="H239" s="80">
        <v>2</v>
      </c>
      <c r="I239" s="7" t="b">
        <v>0</v>
      </c>
      <c r="J239" s="68" t="s">
        <v>649</v>
      </c>
      <c r="K239" s="70" t="s">
        <v>648</v>
      </c>
      <c r="L239" s="43"/>
      <c r="M239" s="43"/>
    </row>
    <row r="240" spans="1:18" ht="42" customHeight="1">
      <c r="A240" s="3" cm="1">
        <f t="array" aca="1" ref="A240" ca="1">INDIRECT("A"&amp;ROW()-1)+1</f>
        <v>135</v>
      </c>
      <c r="B240" s="3">
        <v>133</v>
      </c>
      <c r="C240" s="3" t="str">
        <f ca="1">A238&amp;"==True"</f>
        <v>134==True</v>
      </c>
      <c r="D240" s="4" t="s">
        <v>656</v>
      </c>
      <c r="E240" s="68" t="s">
        <v>148</v>
      </c>
      <c r="F240" s="45" t="s">
        <v>126</v>
      </c>
      <c r="H240" s="80">
        <v>1</v>
      </c>
      <c r="I240" s="15" t="s">
        <v>130</v>
      </c>
      <c r="J240" s="15"/>
      <c r="K240" s="70" t="s">
        <v>657</v>
      </c>
      <c r="L240" s="44">
        <f>L238</f>
        <v>16</v>
      </c>
      <c r="M240" s="42" t="s">
        <v>355</v>
      </c>
      <c r="N240" s="51"/>
      <c r="O240" s="16"/>
      <c r="P240" s="8"/>
      <c r="Q240" s="22"/>
      <c r="R240" s="69" t="s">
        <v>655</v>
      </c>
    </row>
    <row r="241" spans="1:18">
      <c r="A241" s="3" cm="1">
        <f t="array" aca="1" ref="A241" ca="1">INDIRECT("A"&amp;ROW()-1)+1</f>
        <v>136</v>
      </c>
      <c r="B241" s="3">
        <v>134</v>
      </c>
      <c r="C241" s="3" t="str">
        <f ca="1">A233&amp;"==True"</f>
        <v>132==True</v>
      </c>
      <c r="D241" s="4" t="s">
        <v>630</v>
      </c>
      <c r="E241" s="68" t="s">
        <v>6</v>
      </c>
      <c r="F241" s="56" t="s">
        <v>135</v>
      </c>
      <c r="G241" s="68" t="s">
        <v>408</v>
      </c>
      <c r="H241" s="80">
        <v>1</v>
      </c>
      <c r="I241" s="68" t="s">
        <v>408</v>
      </c>
      <c r="J241" s="68" t="s">
        <v>408</v>
      </c>
      <c r="K241" s="70" t="s">
        <v>628</v>
      </c>
      <c r="L241" s="43">
        <f>L233</f>
        <v>16</v>
      </c>
      <c r="M241" s="42" t="s">
        <v>355</v>
      </c>
      <c r="N241" s="51"/>
      <c r="R241" s="69" t="s">
        <v>627</v>
      </c>
    </row>
    <row r="242" spans="1:18" ht="31.2">
      <c r="A242" s="3" cm="1">
        <f t="array" aca="1" ref="A242" ca="1">INDIRECT("A"&amp;ROW()-1)</f>
        <v>136</v>
      </c>
      <c r="B242" s="3" t="s">
        <v>901</v>
      </c>
      <c r="F242" s="56" t="s">
        <v>135</v>
      </c>
      <c r="G242" s="68" t="s">
        <v>624</v>
      </c>
      <c r="H242" s="80">
        <v>2</v>
      </c>
      <c r="I242" s="68" t="s">
        <v>624</v>
      </c>
      <c r="J242" s="68" t="s">
        <v>624</v>
      </c>
      <c r="K242" s="51"/>
      <c r="L242" s="43"/>
      <c r="M242" s="42"/>
      <c r="N242" s="51"/>
      <c r="R242" s="36"/>
    </row>
    <row r="243" spans="1:18" ht="31.2">
      <c r="A243" s="3" cm="1">
        <f t="array" aca="1" ref="A243" ca="1">INDIRECT("A"&amp;ROW()-1)</f>
        <v>136</v>
      </c>
      <c r="B243" s="3" t="s">
        <v>901</v>
      </c>
      <c r="F243" s="56" t="s">
        <v>135</v>
      </c>
      <c r="G243" s="68" t="s">
        <v>623</v>
      </c>
      <c r="H243" s="80">
        <v>3</v>
      </c>
      <c r="I243" s="68" t="s">
        <v>623</v>
      </c>
      <c r="J243" s="68" t="s">
        <v>623</v>
      </c>
      <c r="K243" s="51"/>
      <c r="L243" s="43"/>
      <c r="M243" s="42"/>
      <c r="N243" s="51"/>
      <c r="R243" s="36"/>
    </row>
    <row r="244" spans="1:18" ht="31.2">
      <c r="A244" s="3" cm="1">
        <f t="array" aca="1" ref="A244" ca="1">INDIRECT("A"&amp;ROW()-1)</f>
        <v>136</v>
      </c>
      <c r="B244" s="3" t="s">
        <v>901</v>
      </c>
      <c r="F244" s="56" t="s">
        <v>135</v>
      </c>
      <c r="G244" s="68" t="s">
        <v>625</v>
      </c>
      <c r="H244" s="80">
        <v>4</v>
      </c>
      <c r="I244" s="68" t="s">
        <v>625</v>
      </c>
      <c r="J244" s="68" t="s">
        <v>625</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633</v>
      </c>
      <c r="E245" s="68" t="s">
        <v>148</v>
      </c>
      <c r="F245" s="45" t="s">
        <v>126</v>
      </c>
      <c r="H245" s="80">
        <v>1</v>
      </c>
      <c r="I245" s="15" t="s">
        <v>130</v>
      </c>
      <c r="J245" s="15"/>
      <c r="K245" s="70" t="s">
        <v>634</v>
      </c>
      <c r="L245" s="44">
        <f>L233</f>
        <v>16</v>
      </c>
      <c r="M245" s="42" t="s">
        <v>355</v>
      </c>
      <c r="N245" s="51"/>
      <c r="O245" s="16"/>
      <c r="P245" s="8"/>
      <c r="Q245" s="22"/>
      <c r="R245" s="69" t="s">
        <v>635</v>
      </c>
    </row>
    <row r="246" spans="1:18" ht="42" customHeight="1">
      <c r="A246" s="3" cm="1">
        <f t="array" aca="1" ref="A246" ca="1">INDIRECT("A"&amp;ROW()-1)+1</f>
        <v>138</v>
      </c>
      <c r="B246" s="3">
        <v>136</v>
      </c>
      <c r="C246" s="3" t="str">
        <f ca="1">A241&amp;"any['客供','客户设计我司生产']"</f>
        <v>136any['客供','客户设计我司生产']</v>
      </c>
      <c r="D246" s="4" t="s">
        <v>636</v>
      </c>
      <c r="E246" s="68" t="s">
        <v>148</v>
      </c>
      <c r="F246" s="45" t="s">
        <v>126</v>
      </c>
      <c r="H246" s="80">
        <v>1</v>
      </c>
      <c r="I246" s="15" t="s">
        <v>130</v>
      </c>
      <c r="J246" s="15"/>
      <c r="K246" s="70" t="s">
        <v>637</v>
      </c>
      <c r="L246" s="44">
        <f>L241</f>
        <v>16</v>
      </c>
      <c r="M246" s="42" t="s">
        <v>355</v>
      </c>
      <c r="N246" s="51"/>
      <c r="O246" s="16"/>
      <c r="P246" s="8"/>
      <c r="Q246" s="22"/>
      <c r="R246" s="69" t="s">
        <v>638</v>
      </c>
    </row>
    <row r="247" spans="1:18" ht="31.2">
      <c r="A247" s="3" cm="1">
        <f t="array" aca="1" ref="A247" ca="1">INDIRECT("A"&amp;ROW()-1)+1</f>
        <v>139</v>
      </c>
      <c r="B247" s="3">
        <v>137</v>
      </c>
      <c r="C247" s="3" t="str">
        <f ca="1">A15&amp;"any['结构','硬件','光学']"</f>
        <v>7any['结构','硬件','光学']</v>
      </c>
      <c r="D247" s="4" t="s">
        <v>683</v>
      </c>
      <c r="E247" s="68" t="s">
        <v>5</v>
      </c>
      <c r="F247" s="56" t="s">
        <v>135</v>
      </c>
      <c r="G247" s="5" t="s">
        <v>1</v>
      </c>
      <c r="H247" s="80">
        <v>1</v>
      </c>
      <c r="I247" s="7" t="b">
        <v>1</v>
      </c>
      <c r="J247" s="37" t="s">
        <v>267</v>
      </c>
      <c r="L247" s="48">
        <v>17</v>
      </c>
      <c r="M247" s="71" t="s">
        <v>365</v>
      </c>
      <c r="N247" s="70" t="s">
        <v>685</v>
      </c>
      <c r="R247" s="69" t="s">
        <v>686</v>
      </c>
    </row>
    <row r="248" spans="1:18">
      <c r="A248" s="3" cm="1">
        <f t="array" aca="1" ref="A248" ca="1">INDIRECT("A"&amp;ROW()-1)</f>
        <v>139</v>
      </c>
      <c r="B248" s="3" t="s">
        <v>901</v>
      </c>
      <c r="F248" s="55" t="str">
        <f>F247</f>
        <v>FALSE</v>
      </c>
      <c r="G248" s="5" t="s">
        <v>2</v>
      </c>
      <c r="H248" s="80">
        <v>2</v>
      </c>
      <c r="I248" s="7" t="b">
        <v>0</v>
      </c>
      <c r="J248" s="52" t="s">
        <v>428</v>
      </c>
      <c r="K248" s="70" t="s">
        <v>682</v>
      </c>
      <c r="L248" s="48"/>
      <c r="M248" s="48"/>
    </row>
    <row r="249" spans="1:18" ht="31.2">
      <c r="A249" s="3" cm="1">
        <f t="array" aca="1" ref="A249" ca="1">INDIRECT("A"&amp;ROW()-1)+1</f>
        <v>140</v>
      </c>
      <c r="B249" s="3">
        <v>138</v>
      </c>
      <c r="C249" s="3" t="str">
        <f ca="1">A247&amp;"==True"</f>
        <v>139==True</v>
      </c>
      <c r="D249" s="4" t="s">
        <v>684</v>
      </c>
      <c r="E249" s="11" t="s">
        <v>148</v>
      </c>
      <c r="F249" s="46" t="s">
        <v>126</v>
      </c>
      <c r="H249" s="80">
        <v>1</v>
      </c>
      <c r="I249" s="15" t="s">
        <v>130</v>
      </c>
      <c r="J249" s="15"/>
      <c r="K249" s="70" t="s">
        <v>681</v>
      </c>
      <c r="L249" s="44">
        <f>L247</f>
        <v>17</v>
      </c>
      <c r="M249" s="71" t="s">
        <v>365</v>
      </c>
      <c r="O249" s="16"/>
      <c r="P249" s="8"/>
      <c r="Q249" s="18"/>
      <c r="R249" s="98" t="s">
        <v>1013</v>
      </c>
    </row>
    <row r="250" spans="1:18" ht="31.2">
      <c r="A250" s="3" cm="1">
        <f t="array" aca="1" ref="A250" ca="1">INDIRECT("A"&amp;ROW()-1)+1</f>
        <v>141</v>
      </c>
      <c r="B250" s="3">
        <v>139</v>
      </c>
      <c r="C250" s="3" t="str">
        <f ca="1">A12&amp;"any['结构','光学','光源','硬件']"</f>
        <v>7any['结构','光学','光源','硬件']</v>
      </c>
      <c r="D250" s="4" t="s">
        <v>687</v>
      </c>
      <c r="E250" s="5" t="s">
        <v>5</v>
      </c>
      <c r="F250" s="56" t="s">
        <v>135</v>
      </c>
      <c r="G250" s="5" t="s">
        <v>1</v>
      </c>
      <c r="H250" s="80">
        <v>1</v>
      </c>
      <c r="I250" s="7" t="b">
        <v>1</v>
      </c>
      <c r="J250" s="68" t="s">
        <v>688</v>
      </c>
      <c r="K250" s="68" t="s">
        <v>689</v>
      </c>
      <c r="L250" s="48">
        <f>L247</f>
        <v>17</v>
      </c>
      <c r="M250" s="42" t="s">
        <v>355</v>
      </c>
      <c r="N250" s="70" t="s">
        <v>688</v>
      </c>
      <c r="R250" s="69" t="s">
        <v>692</v>
      </c>
    </row>
    <row r="251" spans="1:18">
      <c r="A251" s="3" cm="1">
        <f t="array" aca="1" ref="A251" ca="1">INDIRECT("A"&amp;ROW()-1)</f>
        <v>141</v>
      </c>
      <c r="B251" s="3" t="s">
        <v>901</v>
      </c>
      <c r="F251" s="55" t="str">
        <f>F250</f>
        <v>FALSE</v>
      </c>
      <c r="G251" s="5" t="s">
        <v>2</v>
      </c>
      <c r="H251" s="80">
        <v>2</v>
      </c>
      <c r="I251" s="7" t="b">
        <v>0</v>
      </c>
      <c r="J251" s="68" t="s">
        <v>691</v>
      </c>
      <c r="K251" s="68" t="s">
        <v>690</v>
      </c>
      <c r="L251" s="48"/>
      <c r="M251" s="48"/>
    </row>
    <row r="252" spans="1:18" ht="31.2">
      <c r="A252" s="3" cm="1">
        <f t="array" aca="1" ref="A252" ca="1">INDIRECT("A"&amp;ROW()-1)+1</f>
        <v>142</v>
      </c>
      <c r="B252" s="3">
        <v>140</v>
      </c>
      <c r="C252" s="3" t="str">
        <f ca="1">A12&amp;"any['结构','光学','光源','硬件']"</f>
        <v>7any['结构','光学','光源','硬件']</v>
      </c>
      <c r="D252" s="4" t="s">
        <v>698</v>
      </c>
      <c r="E252" s="11" t="s">
        <v>148</v>
      </c>
      <c r="F252" s="46" t="s">
        <v>126</v>
      </c>
      <c r="H252" s="80">
        <v>1</v>
      </c>
      <c r="I252" s="15" t="s">
        <v>130</v>
      </c>
      <c r="J252" s="15"/>
      <c r="K252" s="70" t="s">
        <v>700</v>
      </c>
      <c r="L252" s="44">
        <f>L250</f>
        <v>17</v>
      </c>
      <c r="M252" s="71" t="s">
        <v>693</v>
      </c>
      <c r="O252" s="16"/>
      <c r="P252" s="8"/>
      <c r="Q252" s="18"/>
      <c r="R252" s="69" t="s">
        <v>699</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901</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901</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901</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901</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1014</v>
      </c>
    </row>
    <row r="261" spans="1:19">
      <c r="A261" s="3" cm="1">
        <f t="array" aca="1" ref="A261" ca="1">INDIRECT("A"&amp;ROW()-1)</f>
        <v>146</v>
      </c>
      <c r="B261" s="3" t="s">
        <v>901</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1015</v>
      </c>
      <c r="S262" s="77" t="s">
        <v>798</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823</v>
      </c>
    </row>
    <row r="264" spans="1:19">
      <c r="A264" s="3" cm="1">
        <f t="array" aca="1" ref="A264" ca="1">INDIRECT("A"&amp;ROW()-1)</f>
        <v>148</v>
      </c>
      <c r="B264" s="3" t="s">
        <v>901</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824</v>
      </c>
    </row>
    <row r="266" spans="1:19">
      <c r="A266" s="3" cm="1">
        <f t="array" aca="1" ref="A266" ca="1">INDIRECT("A"&amp;ROW()-1)</f>
        <v>149</v>
      </c>
      <c r="B266" s="3" t="s">
        <v>901</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825</v>
      </c>
    </row>
    <row r="268" spans="1:19">
      <c r="A268" s="3" cm="1">
        <f t="array" aca="1" ref="A268" ca="1">INDIRECT("A"&amp;ROW()-1)</f>
        <v>150</v>
      </c>
      <c r="B268" s="3" t="s">
        <v>901</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1016</v>
      </c>
    </row>
    <row r="270" spans="1:19">
      <c r="A270" s="3" cm="1">
        <f t="array" aca="1" ref="A270" ca="1">INDIRECT("A"&amp;ROW()-1)</f>
        <v>151</v>
      </c>
      <c r="B270" s="3" t="s">
        <v>901</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513</v>
      </c>
      <c r="R271" s="98" t="s">
        <v>1017</v>
      </c>
    </row>
    <row r="272" spans="1:19">
      <c r="A272" s="3" cm="1">
        <f t="array" aca="1" ref="A272" ca="1">INDIRECT("A"&amp;ROW()-1)</f>
        <v>152</v>
      </c>
      <c r="B272" s="3" t="s">
        <v>901</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726</v>
      </c>
      <c r="E274" s="5" t="s">
        <v>5</v>
      </c>
      <c r="F274" s="56" t="s">
        <v>135</v>
      </c>
      <c r="G274" s="5" t="s">
        <v>1</v>
      </c>
      <c r="H274" s="80">
        <v>1</v>
      </c>
      <c r="I274" s="7" t="b">
        <v>1</v>
      </c>
      <c r="J274" s="37" t="s">
        <v>267</v>
      </c>
      <c r="L274" s="48">
        <v>24</v>
      </c>
      <c r="M274" s="71" t="s">
        <v>364</v>
      </c>
      <c r="N274" s="70" t="s">
        <v>727</v>
      </c>
      <c r="R274" s="69" t="s">
        <v>730</v>
      </c>
    </row>
    <row r="275" spans="1:18">
      <c r="A275" s="3" cm="1">
        <f t="array" aca="1" ref="A275" ca="1">INDIRECT("A"&amp;ROW()-1)</f>
        <v>154</v>
      </c>
      <c r="B275" s="3" t="s">
        <v>901</v>
      </c>
      <c r="F275" s="55" t="str">
        <f>F274</f>
        <v>FALSE</v>
      </c>
      <c r="G275" s="5" t="s">
        <v>2</v>
      </c>
      <c r="H275" s="80">
        <v>2</v>
      </c>
      <c r="I275" s="7" t="b">
        <v>0</v>
      </c>
      <c r="J275" s="68" t="s">
        <v>102</v>
      </c>
      <c r="K275" s="70" t="s">
        <v>728</v>
      </c>
      <c r="L275" s="48"/>
      <c r="M275" s="48"/>
    </row>
    <row r="276" spans="1:18" ht="31.2">
      <c r="A276" s="3" cm="1">
        <f t="array" aca="1" ref="A276" ca="1">INDIRECT("A"&amp;ROW()-1)+1</f>
        <v>155</v>
      </c>
      <c r="B276" s="3">
        <v>153</v>
      </c>
      <c r="C276" s="3" t="str">
        <f ca="1">A274&amp;"==True"</f>
        <v>154==True</v>
      </c>
      <c r="D276" s="4" t="s">
        <v>732</v>
      </c>
      <c r="E276" s="11" t="s">
        <v>148</v>
      </c>
      <c r="F276" s="45" t="s">
        <v>126</v>
      </c>
      <c r="H276" s="80">
        <v>1</v>
      </c>
      <c r="I276" s="15" t="s">
        <v>130</v>
      </c>
      <c r="J276" s="15"/>
      <c r="K276" s="70" t="s">
        <v>729</v>
      </c>
      <c r="L276" s="44">
        <f>L274</f>
        <v>24</v>
      </c>
      <c r="M276" s="71" t="s">
        <v>364</v>
      </c>
      <c r="O276" s="16"/>
      <c r="P276" s="8"/>
      <c r="Q276" s="18"/>
      <c r="R276" s="69" t="s">
        <v>731</v>
      </c>
    </row>
    <row r="277" spans="1:18" ht="69" customHeight="1">
      <c r="A277" s="3" cm="1">
        <f t="array" aca="1" ref="A277" ca="1">INDIRECT("A"&amp;ROW()-1)+1</f>
        <v>156</v>
      </c>
      <c r="B277" s="3">
        <v>154</v>
      </c>
      <c r="C277" s="3" t="str">
        <f ca="1">A12&amp;"any['硬件','软件']"</f>
        <v>7any['硬件','软件']</v>
      </c>
      <c r="D277" s="4" t="s">
        <v>712</v>
      </c>
      <c r="E277" s="5" t="s">
        <v>5</v>
      </c>
      <c r="F277" s="56" t="s">
        <v>135</v>
      </c>
      <c r="G277" s="5" t="s">
        <v>1</v>
      </c>
      <c r="H277" s="80">
        <v>1</v>
      </c>
      <c r="I277" s="7" t="b">
        <v>1</v>
      </c>
      <c r="J277" s="37" t="s">
        <v>267</v>
      </c>
      <c r="L277" s="48">
        <f>L274</f>
        <v>24</v>
      </c>
      <c r="M277" s="71" t="s">
        <v>364</v>
      </c>
      <c r="N277" s="70" t="s">
        <v>715</v>
      </c>
      <c r="R277" s="83" t="s">
        <v>724</v>
      </c>
    </row>
    <row r="278" spans="1:18">
      <c r="A278" s="3" cm="1">
        <f t="array" aca="1" ref="A278" ca="1">INDIRECT("A"&amp;ROW()-1)</f>
        <v>156</v>
      </c>
      <c r="B278" s="3" t="s">
        <v>901</v>
      </c>
      <c r="F278" s="55" t="str">
        <f>F277</f>
        <v>FALSE</v>
      </c>
      <c r="G278" s="5" t="s">
        <v>2</v>
      </c>
      <c r="H278" s="80">
        <v>2</v>
      </c>
      <c r="I278" s="7" t="b">
        <v>0</v>
      </c>
      <c r="J278" s="68" t="s">
        <v>714</v>
      </c>
      <c r="K278" s="70" t="s">
        <v>716</v>
      </c>
      <c r="L278" s="48"/>
      <c r="M278" s="48"/>
    </row>
    <row r="279" spans="1:18" ht="31.2">
      <c r="A279" s="3" cm="1">
        <f t="array" aca="1" ref="A279" ca="1">INDIRECT("A"&amp;ROW()-1)+1</f>
        <v>157</v>
      </c>
      <c r="B279" s="3">
        <v>155</v>
      </c>
      <c r="C279" s="3" t="str">
        <f ca="1">A277&amp;"==True"</f>
        <v>156==True</v>
      </c>
      <c r="D279" s="4" t="s">
        <v>713</v>
      </c>
      <c r="E279" s="11" t="s">
        <v>148</v>
      </c>
      <c r="F279" s="45" t="s">
        <v>126</v>
      </c>
      <c r="H279" s="80">
        <v>1</v>
      </c>
      <c r="I279" s="15" t="s">
        <v>130</v>
      </c>
      <c r="J279" s="15"/>
      <c r="K279" s="70" t="s">
        <v>717</v>
      </c>
      <c r="L279" s="44">
        <f>L277</f>
        <v>24</v>
      </c>
      <c r="M279" s="71" t="s">
        <v>364</v>
      </c>
      <c r="O279" s="16"/>
      <c r="P279" s="8"/>
      <c r="Q279" s="18"/>
      <c r="R279" s="69" t="s">
        <v>718</v>
      </c>
    </row>
    <row r="280" spans="1:18" ht="69" customHeight="1">
      <c r="A280" s="3" cm="1">
        <f t="array" aca="1" ref="A280" ca="1">INDIRECT("A"&amp;ROW()-1)+1</f>
        <v>158</v>
      </c>
      <c r="B280" s="3">
        <v>156</v>
      </c>
      <c r="C280" s="3" t="str">
        <f ca="1">A15&amp;"any['硬件','软件']"</f>
        <v>7any['硬件','软件']</v>
      </c>
      <c r="D280" s="4" t="s">
        <v>720</v>
      </c>
      <c r="E280" s="5" t="s">
        <v>5</v>
      </c>
      <c r="F280" s="56" t="s">
        <v>135</v>
      </c>
      <c r="G280" s="5" t="s">
        <v>1</v>
      </c>
      <c r="H280" s="80">
        <v>1</v>
      </c>
      <c r="I280" s="7" t="b">
        <v>1</v>
      </c>
      <c r="J280" s="37" t="s">
        <v>267</v>
      </c>
      <c r="L280" s="48">
        <f>L274</f>
        <v>24</v>
      </c>
      <c r="M280" s="71" t="s">
        <v>364</v>
      </c>
      <c r="N280" s="70" t="s">
        <v>721</v>
      </c>
      <c r="R280" s="83" t="s">
        <v>826</v>
      </c>
    </row>
    <row r="281" spans="1:18">
      <c r="A281" s="3" cm="1">
        <f t="array" aca="1" ref="A281" ca="1">INDIRECT("A"&amp;ROW()-1)</f>
        <v>158</v>
      </c>
      <c r="B281" s="3" t="s">
        <v>901</v>
      </c>
      <c r="F281" s="55" t="str">
        <f>F280</f>
        <v>FALSE</v>
      </c>
      <c r="G281" s="5" t="s">
        <v>2</v>
      </c>
      <c r="H281" s="80">
        <v>2</v>
      </c>
      <c r="I281" s="7" t="b">
        <v>0</v>
      </c>
      <c r="J281" s="68" t="s">
        <v>714</v>
      </c>
      <c r="K281" s="70" t="s">
        <v>722</v>
      </c>
      <c r="L281" s="48"/>
      <c r="M281" s="48"/>
    </row>
    <row r="282" spans="1:18" ht="31.2">
      <c r="A282" s="3" cm="1">
        <f t="array" aca="1" ref="A282" ca="1">INDIRECT("A"&amp;ROW()-1)+1</f>
        <v>159</v>
      </c>
      <c r="B282" s="3">
        <v>157</v>
      </c>
      <c r="C282" s="3" t="str">
        <f ca="1">A280&amp;"==True"</f>
        <v>158==True</v>
      </c>
      <c r="D282" s="4" t="s">
        <v>719</v>
      </c>
      <c r="E282" s="11" t="s">
        <v>148</v>
      </c>
      <c r="F282" s="45" t="s">
        <v>126</v>
      </c>
      <c r="H282" s="80">
        <v>1</v>
      </c>
      <c r="I282" s="15" t="s">
        <v>130</v>
      </c>
      <c r="J282" s="15"/>
      <c r="K282" s="70" t="s">
        <v>723</v>
      </c>
      <c r="L282" s="44">
        <f>L280</f>
        <v>24</v>
      </c>
      <c r="M282" s="71" t="s">
        <v>364</v>
      </c>
      <c r="O282" s="16"/>
      <c r="P282" s="8"/>
      <c r="Q282" s="18"/>
      <c r="R282" s="69" t="s">
        <v>725</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901</v>
      </c>
      <c r="F284" s="55" t="str">
        <f>F283</f>
        <v>FALSE</v>
      </c>
      <c r="G284" s="65" t="s">
        <v>20</v>
      </c>
      <c r="H284" s="80">
        <v>2</v>
      </c>
      <c r="I284" s="7" t="s">
        <v>20</v>
      </c>
      <c r="J284" s="7" t="s">
        <v>20</v>
      </c>
    </row>
    <row r="285" spans="1:18">
      <c r="A285" s="3" cm="1">
        <f t="array" aca="1" ref="A285" ca="1">INDIRECT("A"&amp;ROW()-1)</f>
        <v>160</v>
      </c>
      <c r="B285" s="3" t="s">
        <v>901</v>
      </c>
      <c r="F285" s="55" t="str">
        <f>F284</f>
        <v>FALSE</v>
      </c>
      <c r="G285" s="5" t="s">
        <v>22</v>
      </c>
      <c r="H285" s="80">
        <v>3</v>
      </c>
      <c r="I285" s="7" t="s">
        <v>21</v>
      </c>
      <c r="J285" s="7" t="s">
        <v>21</v>
      </c>
    </row>
    <row r="286" spans="1:18">
      <c r="A286" s="3" cm="1">
        <f t="array" aca="1" ref="A286" ca="1">INDIRECT("A"&amp;ROW()-1)</f>
        <v>160</v>
      </c>
      <c r="B286" s="3" t="s">
        <v>901</v>
      </c>
      <c r="F286" s="55" t="str">
        <f t="shared" ref="F286:F329" si="4">F285</f>
        <v>FALSE</v>
      </c>
      <c r="G286" s="5" t="s">
        <v>24</v>
      </c>
      <c r="H286" s="80">
        <v>4</v>
      </c>
      <c r="I286" s="7" t="s">
        <v>23</v>
      </c>
      <c r="J286" s="7" t="s">
        <v>23</v>
      </c>
    </row>
    <row r="287" spans="1:18">
      <c r="A287" s="3" cm="1">
        <f t="array" aca="1" ref="A287" ca="1">INDIRECT("A"&amp;ROW()-1)</f>
        <v>160</v>
      </c>
      <c r="B287" s="3" t="s">
        <v>901</v>
      </c>
      <c r="F287" s="55" t="str">
        <f t="shared" si="4"/>
        <v>FALSE</v>
      </c>
      <c r="G287" s="5" t="s">
        <v>26</v>
      </c>
      <c r="H287" s="80">
        <v>5</v>
      </c>
      <c r="I287" s="7" t="s">
        <v>25</v>
      </c>
      <c r="J287" s="7" t="s">
        <v>25</v>
      </c>
    </row>
    <row r="288" spans="1:18">
      <c r="A288" s="3" cm="1">
        <f t="array" aca="1" ref="A288" ca="1">INDIRECT("A"&amp;ROW()-1)</f>
        <v>160</v>
      </c>
      <c r="B288" s="3" t="s">
        <v>901</v>
      </c>
      <c r="F288" s="55" t="str">
        <f t="shared" si="4"/>
        <v>FALSE</v>
      </c>
      <c r="G288" s="65" t="s">
        <v>552</v>
      </c>
      <c r="H288" s="80">
        <v>6</v>
      </c>
      <c r="I288" s="65" t="s">
        <v>551</v>
      </c>
      <c r="J288" s="65" t="s">
        <v>551</v>
      </c>
    </row>
    <row r="289" spans="1:18">
      <c r="A289" s="3" cm="1">
        <f t="array" aca="1" ref="A289" ca="1">INDIRECT("A"&amp;ROW()-1)</f>
        <v>160</v>
      </c>
      <c r="B289" s="3" t="s">
        <v>901</v>
      </c>
      <c r="F289" s="55" t="str">
        <f t="shared" si="4"/>
        <v>FALSE</v>
      </c>
      <c r="G289" s="5" t="s">
        <v>28</v>
      </c>
      <c r="H289" s="80">
        <v>7</v>
      </c>
      <c r="I289" s="7" t="s">
        <v>27</v>
      </c>
      <c r="J289" s="7" t="s">
        <v>27</v>
      </c>
    </row>
    <row r="290" spans="1:18">
      <c r="A290" s="3" cm="1">
        <f t="array" aca="1" ref="A290" ca="1">INDIRECT("A"&amp;ROW()-1)</f>
        <v>160</v>
      </c>
      <c r="B290" s="3" t="s">
        <v>901</v>
      </c>
      <c r="F290" s="55" t="str">
        <f t="shared" si="4"/>
        <v>FALSE</v>
      </c>
      <c r="G290" s="5" t="s">
        <v>30</v>
      </c>
      <c r="H290" s="80">
        <v>8</v>
      </c>
      <c r="I290" s="7" t="s">
        <v>29</v>
      </c>
      <c r="J290" s="7" t="s">
        <v>29</v>
      </c>
    </row>
    <row r="291" spans="1:18">
      <c r="A291" s="3" cm="1">
        <f t="array" aca="1" ref="A291" ca="1">INDIRECT("A"&amp;ROW()-1)</f>
        <v>160</v>
      </c>
      <c r="B291" s="3" t="s">
        <v>901</v>
      </c>
      <c r="F291" s="55" t="str">
        <f t="shared" si="4"/>
        <v>FALSE</v>
      </c>
      <c r="G291" s="5" t="s">
        <v>32</v>
      </c>
      <c r="H291" s="80">
        <v>9</v>
      </c>
      <c r="I291" s="7" t="s">
        <v>31</v>
      </c>
      <c r="J291" s="7" t="s">
        <v>31</v>
      </c>
    </row>
    <row r="292" spans="1:18">
      <c r="A292" s="3" cm="1">
        <f t="array" aca="1" ref="A292" ca="1">INDIRECT("A"&amp;ROW()-1)</f>
        <v>160</v>
      </c>
      <c r="B292" s="3" t="s">
        <v>901</v>
      </c>
      <c r="F292" s="55" t="str">
        <f t="shared" si="4"/>
        <v>FALSE</v>
      </c>
      <c r="G292" s="5" t="s">
        <v>34</v>
      </c>
      <c r="H292" s="80">
        <v>10</v>
      </c>
      <c r="I292" s="7" t="s">
        <v>33</v>
      </c>
      <c r="J292" s="7" t="s">
        <v>33</v>
      </c>
    </row>
    <row r="293" spans="1:18">
      <c r="A293" s="3" cm="1">
        <f t="array" aca="1" ref="A293" ca="1">INDIRECT("A"&amp;ROW()-1)</f>
        <v>160</v>
      </c>
      <c r="B293" s="3" t="s">
        <v>901</v>
      </c>
      <c r="F293" s="55" t="str">
        <f t="shared" si="4"/>
        <v>FALSE</v>
      </c>
      <c r="G293" s="65" t="s">
        <v>545</v>
      </c>
      <c r="H293" s="80">
        <v>11</v>
      </c>
      <c r="I293" s="65" t="s">
        <v>545</v>
      </c>
      <c r="J293" s="65" t="s">
        <v>545</v>
      </c>
    </row>
    <row r="294" spans="1:18">
      <c r="A294" s="3" cm="1">
        <f t="array" aca="1" ref="A294" ca="1">INDIRECT("A"&amp;ROW()-1)</f>
        <v>160</v>
      </c>
      <c r="B294" s="3" t="s">
        <v>901</v>
      </c>
      <c r="F294" s="55" t="str">
        <f t="shared" si="4"/>
        <v>FALSE</v>
      </c>
      <c r="G294" s="5" t="s">
        <v>36</v>
      </c>
      <c r="H294" s="80">
        <v>12</v>
      </c>
      <c r="I294" s="7" t="s">
        <v>35</v>
      </c>
      <c r="J294" s="7" t="s">
        <v>35</v>
      </c>
    </row>
    <row r="295" spans="1:18">
      <c r="A295" s="3" cm="1">
        <f t="array" aca="1" ref="A295" ca="1">INDIRECT("A"&amp;ROW()-1)</f>
        <v>160</v>
      </c>
      <c r="B295" s="3" t="s">
        <v>901</v>
      </c>
      <c r="F295" s="55" t="str">
        <f t="shared" si="4"/>
        <v>FALSE</v>
      </c>
      <c r="G295" s="5" t="s">
        <v>38</v>
      </c>
      <c r="H295" s="80">
        <v>13</v>
      </c>
      <c r="I295" s="7" t="s">
        <v>37</v>
      </c>
      <c r="J295" s="7" t="s">
        <v>37</v>
      </c>
    </row>
    <row r="296" spans="1:18">
      <c r="A296" s="3" cm="1">
        <f t="array" aca="1" ref="A296" ca="1">INDIRECT("A"&amp;ROW()-1)</f>
        <v>160</v>
      </c>
      <c r="B296" s="3" t="s">
        <v>901</v>
      </c>
      <c r="F296" s="55" t="str">
        <f t="shared" si="4"/>
        <v>FALSE</v>
      </c>
      <c r="G296" s="5" t="s">
        <v>40</v>
      </c>
      <c r="H296" s="80">
        <v>14</v>
      </c>
      <c r="I296" s="7" t="s">
        <v>39</v>
      </c>
      <c r="J296" s="7" t="s">
        <v>39</v>
      </c>
    </row>
    <row r="297" spans="1:18">
      <c r="A297" s="3" cm="1">
        <f t="array" aca="1" ref="A297" ca="1">INDIRECT("A"&amp;ROW()-1)</f>
        <v>160</v>
      </c>
      <c r="B297" s="3" t="s">
        <v>901</v>
      </c>
      <c r="F297" s="55" t="str">
        <f t="shared" si="4"/>
        <v>FALSE</v>
      </c>
      <c r="G297" s="5" t="s">
        <v>42</v>
      </c>
      <c r="H297" s="80">
        <v>15</v>
      </c>
      <c r="I297" s="7" t="s">
        <v>41</v>
      </c>
      <c r="J297" s="7" t="s">
        <v>41</v>
      </c>
    </row>
    <row r="298" spans="1:18">
      <c r="A298" s="3" cm="1">
        <f t="array" aca="1" ref="A298" ca="1">INDIRECT("A"&amp;ROW()-1)</f>
        <v>160</v>
      </c>
      <c r="B298" s="3" t="s">
        <v>901</v>
      </c>
      <c r="F298" s="55" t="str">
        <f t="shared" si="4"/>
        <v>FALSE</v>
      </c>
      <c r="G298" s="5" t="s">
        <v>44</v>
      </c>
      <c r="H298" s="80">
        <v>16</v>
      </c>
      <c r="I298" s="7" t="s">
        <v>43</v>
      </c>
      <c r="J298" s="7" t="s">
        <v>43</v>
      </c>
    </row>
    <row r="299" spans="1:18">
      <c r="A299" s="3" cm="1">
        <f t="array" aca="1" ref="A299" ca="1">INDIRECT("A"&amp;ROW()-1)</f>
        <v>160</v>
      </c>
      <c r="B299" s="3" t="s">
        <v>901</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546</v>
      </c>
      <c r="E300" s="65" t="s">
        <v>6</v>
      </c>
      <c r="F300" s="56" t="s">
        <v>135</v>
      </c>
      <c r="G300" s="65" t="s">
        <v>547</v>
      </c>
      <c r="H300" s="80">
        <v>1</v>
      </c>
      <c r="I300" s="65" t="s">
        <v>547</v>
      </c>
      <c r="J300" s="65" t="s">
        <v>547</v>
      </c>
      <c r="K300" s="67" t="s">
        <v>549</v>
      </c>
      <c r="L300" s="48">
        <f>L283</f>
        <v>25</v>
      </c>
      <c r="M300" s="66" t="s">
        <v>364</v>
      </c>
      <c r="N300" s="58"/>
      <c r="R300" s="64" t="s">
        <v>550</v>
      </c>
    </row>
    <row r="301" spans="1:18">
      <c r="A301" s="3" cm="1">
        <f t="array" aca="1" ref="A301" ca="1">INDIRECT("A"&amp;ROW()-1)</f>
        <v>161</v>
      </c>
      <c r="B301" s="3" t="s">
        <v>901</v>
      </c>
      <c r="F301" s="55" t="str">
        <f t="shared" si="4"/>
        <v>FALSE</v>
      </c>
      <c r="G301" s="65" t="s">
        <v>548</v>
      </c>
      <c r="H301" s="80">
        <v>2</v>
      </c>
      <c r="I301" s="65" t="s">
        <v>548</v>
      </c>
      <c r="J301" s="65" t="s">
        <v>548</v>
      </c>
      <c r="K301" s="51"/>
      <c r="L301" s="48"/>
      <c r="M301" s="48"/>
    </row>
    <row r="302" spans="1:18" ht="31.2">
      <c r="A302" s="3" cm="1">
        <f t="array" aca="1" ref="A302" ca="1">INDIRECT("A"&amp;ROW()-1)+1</f>
        <v>162</v>
      </c>
      <c r="B302" s="3">
        <v>160</v>
      </c>
      <c r="C302" s="3" t="str">
        <f ca="1">A283&amp;"any['以太网','LAN']"</f>
        <v>160any['以太网','LAN']</v>
      </c>
      <c r="D302" s="4" t="s">
        <v>745</v>
      </c>
      <c r="E302" s="11" t="s">
        <v>148</v>
      </c>
      <c r="F302" s="45" t="s">
        <v>126</v>
      </c>
      <c r="H302" s="80">
        <v>1</v>
      </c>
      <c r="I302" s="15" t="s">
        <v>130</v>
      </c>
      <c r="J302" s="15"/>
      <c r="K302" s="70" t="s">
        <v>749</v>
      </c>
      <c r="L302" s="44">
        <f>L283</f>
        <v>25</v>
      </c>
      <c r="M302" s="71" t="s">
        <v>364</v>
      </c>
      <c r="O302" s="16"/>
      <c r="P302" s="8"/>
      <c r="Q302" s="18"/>
      <c r="R302" s="98" t="s">
        <v>1018</v>
      </c>
    </row>
    <row r="303" spans="1:18" ht="31.2">
      <c r="A303" s="3" cm="1">
        <f t="array" aca="1" ref="A303" ca="1">INDIRECT("A"&amp;ROW()-1)+1</f>
        <v>163</v>
      </c>
      <c r="B303" s="3">
        <v>161</v>
      </c>
      <c r="C303" s="3" t="str">
        <f ca="1">A283&amp;"any['CAN']"</f>
        <v>160any['CAN']</v>
      </c>
      <c r="D303" s="4" t="s">
        <v>747</v>
      </c>
      <c r="E303" s="11" t="s">
        <v>148</v>
      </c>
      <c r="F303" s="45" t="s">
        <v>126</v>
      </c>
      <c r="H303" s="80">
        <v>1</v>
      </c>
      <c r="I303" s="15" t="s">
        <v>130</v>
      </c>
      <c r="J303" s="15"/>
      <c r="K303" s="70" t="s">
        <v>748</v>
      </c>
      <c r="L303" s="44">
        <f>L283</f>
        <v>25</v>
      </c>
      <c r="M303" s="71" t="s">
        <v>364</v>
      </c>
      <c r="O303" s="16"/>
      <c r="P303" s="8"/>
      <c r="Q303" s="18"/>
      <c r="R303" s="98" t="s">
        <v>1019</v>
      </c>
    </row>
    <row r="304" spans="1:18" ht="31.2">
      <c r="A304" s="3" cm="1">
        <f t="array" aca="1" ref="A304" ca="1">INDIRECT("A"&amp;ROW()-1)+1</f>
        <v>164</v>
      </c>
      <c r="B304" s="3">
        <v>162</v>
      </c>
      <c r="C304" s="3" t="str">
        <f ca="1">A284&amp;"any['电位器']"</f>
        <v>160any['电位器']</v>
      </c>
      <c r="D304" s="4" t="s">
        <v>746</v>
      </c>
      <c r="E304" s="11" t="s">
        <v>148</v>
      </c>
      <c r="F304" s="45" t="s">
        <v>126</v>
      </c>
      <c r="H304" s="80">
        <v>1</v>
      </c>
      <c r="I304" s="15" t="s">
        <v>130</v>
      </c>
      <c r="J304" s="15"/>
      <c r="K304" s="70" t="s">
        <v>750</v>
      </c>
      <c r="L304" s="44">
        <f>L283</f>
        <v>25</v>
      </c>
      <c r="M304" s="71" t="s">
        <v>364</v>
      </c>
      <c r="O304" s="16"/>
      <c r="P304" s="8"/>
      <c r="Q304" s="18"/>
      <c r="R304" s="98" t="s">
        <v>1020</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705</v>
      </c>
      <c r="E305" s="5" t="s">
        <v>5</v>
      </c>
      <c r="F305" s="56" t="s">
        <v>135</v>
      </c>
      <c r="G305" s="5" t="s">
        <v>1</v>
      </c>
      <c r="H305" s="80">
        <v>1</v>
      </c>
      <c r="I305" s="7" t="b">
        <v>1</v>
      </c>
      <c r="J305" s="37" t="s">
        <v>267</v>
      </c>
      <c r="L305" s="48">
        <f>L283</f>
        <v>25</v>
      </c>
      <c r="M305" s="71" t="s">
        <v>364</v>
      </c>
      <c r="N305" s="70" t="s">
        <v>706</v>
      </c>
      <c r="R305" s="98" t="s">
        <v>711</v>
      </c>
    </row>
    <row r="306" spans="1:18">
      <c r="A306" s="3" cm="1">
        <f t="array" aca="1" ref="A306" ca="1">INDIRECT("A"&amp;ROW()-1)</f>
        <v>165</v>
      </c>
      <c r="B306" s="3" t="s">
        <v>901</v>
      </c>
      <c r="F306" s="55" t="str">
        <f t="shared" si="4"/>
        <v>FALSE</v>
      </c>
      <c r="G306" s="5" t="s">
        <v>2</v>
      </c>
      <c r="H306" s="80">
        <v>2</v>
      </c>
      <c r="I306" s="7" t="b">
        <v>0</v>
      </c>
      <c r="J306" s="68" t="s">
        <v>426</v>
      </c>
      <c r="K306" s="70" t="s">
        <v>707</v>
      </c>
      <c r="L306" s="48"/>
      <c r="M306" s="48"/>
    </row>
    <row r="307" spans="1:18" ht="31.2">
      <c r="A307" s="3" cm="1">
        <f t="array" aca="1" ref="A307" ca="1">INDIRECT("A"&amp;ROW()-1)+1</f>
        <v>166</v>
      </c>
      <c r="B307" s="3">
        <v>164</v>
      </c>
      <c r="C307" s="3" t="str">
        <f ca="1">A305&amp;"==True"</f>
        <v>165==True</v>
      </c>
      <c r="D307" s="4" t="s">
        <v>708</v>
      </c>
      <c r="E307" s="11" t="s">
        <v>148</v>
      </c>
      <c r="F307" s="45" t="s">
        <v>126</v>
      </c>
      <c r="H307" s="80">
        <v>1</v>
      </c>
      <c r="I307" s="15" t="s">
        <v>130</v>
      </c>
      <c r="J307" s="15"/>
      <c r="K307" s="70" t="s">
        <v>709</v>
      </c>
      <c r="L307" s="44">
        <f>L305</f>
        <v>25</v>
      </c>
      <c r="M307" s="71" t="s">
        <v>364</v>
      </c>
      <c r="O307" s="16"/>
      <c r="P307" s="8"/>
      <c r="Q307" s="18"/>
      <c r="R307" s="98" t="s">
        <v>710</v>
      </c>
    </row>
    <row r="308" spans="1:18" ht="69" customHeight="1">
      <c r="A308" s="3" cm="1">
        <f t="array" aca="1" ref="A308" ca="1">INDIRECT("A"&amp;ROW()-1)+1</f>
        <v>167</v>
      </c>
      <c r="B308" s="3">
        <v>165</v>
      </c>
      <c r="C308" s="3" t="str">
        <f ca="1">A286&amp;"any['RS232','RS422','RS485','TTL']"</f>
        <v>160any['RS232','RS422','RS485','TTL']</v>
      </c>
      <c r="D308" s="4" t="s">
        <v>733</v>
      </c>
      <c r="E308" s="5" t="s">
        <v>5</v>
      </c>
      <c r="F308" s="56" t="s">
        <v>135</v>
      </c>
      <c r="G308" s="7">
        <v>9600</v>
      </c>
      <c r="H308" s="80">
        <v>1</v>
      </c>
      <c r="I308" s="7">
        <v>9600</v>
      </c>
      <c r="J308" s="7">
        <v>9600</v>
      </c>
      <c r="K308" s="70" t="s">
        <v>737</v>
      </c>
      <c r="L308" s="48">
        <f>L283</f>
        <v>25</v>
      </c>
      <c r="M308" s="71" t="s">
        <v>364</v>
      </c>
      <c r="N308" s="70" t="s">
        <v>734</v>
      </c>
      <c r="R308" s="69" t="s">
        <v>738</v>
      </c>
    </row>
    <row r="309" spans="1:18" ht="27.6" customHeight="1">
      <c r="A309" s="3" cm="1">
        <f t="array" aca="1" ref="A309" ca="1">INDIRECT("A"&amp;ROW()-1)</f>
        <v>167</v>
      </c>
      <c r="B309" s="3" t="s">
        <v>901</v>
      </c>
      <c r="F309" s="56"/>
      <c r="G309" s="5">
        <v>19200</v>
      </c>
      <c r="H309" s="80">
        <v>2</v>
      </c>
      <c r="I309" s="5">
        <v>19200</v>
      </c>
      <c r="J309" s="5">
        <v>19200</v>
      </c>
      <c r="K309" s="70" t="s">
        <v>737</v>
      </c>
      <c r="L309" s="48"/>
      <c r="M309" s="71"/>
      <c r="N309" s="70" t="s">
        <v>735</v>
      </c>
      <c r="R309" s="69"/>
    </row>
    <row r="310" spans="1:18" ht="31.2">
      <c r="A310" s="3" cm="1">
        <f t="array" aca="1" ref="A310" ca="1">INDIRECT("A"&amp;ROW()-1)</f>
        <v>167</v>
      </c>
      <c r="B310" s="3" t="s">
        <v>901</v>
      </c>
      <c r="F310" s="55" t="str">
        <f>F308</f>
        <v>FALSE</v>
      </c>
      <c r="G310" s="7">
        <v>115200</v>
      </c>
      <c r="H310" s="80">
        <v>3</v>
      </c>
      <c r="I310" s="7">
        <v>115200</v>
      </c>
      <c r="J310" s="7">
        <v>115200</v>
      </c>
      <c r="K310" s="70" t="s">
        <v>737</v>
      </c>
      <c r="L310" s="48"/>
      <c r="M310" s="48"/>
      <c r="N310" s="68" t="s">
        <v>736</v>
      </c>
    </row>
    <row r="311" spans="1:18" ht="46.8">
      <c r="A311" s="3" cm="1">
        <f t="array" aca="1" ref="A311" ca="1">INDIRECT("A"&amp;ROW()-1)+1</f>
        <v>168</v>
      </c>
      <c r="B311" s="3">
        <v>166</v>
      </c>
      <c r="C311" s="3" t="str">
        <f ca="1">A287&amp;"any['RS232','RS422','RS485','TTL']"</f>
        <v>160any['RS232','RS422','RS485','TTL']</v>
      </c>
      <c r="D311" s="4" t="s">
        <v>739</v>
      </c>
      <c r="E311" s="11" t="s">
        <v>148</v>
      </c>
      <c r="F311" s="45" t="s">
        <v>126</v>
      </c>
      <c r="H311" s="80">
        <v>1</v>
      </c>
      <c r="I311" s="15" t="s">
        <v>130</v>
      </c>
      <c r="J311" s="15"/>
      <c r="K311" s="70" t="s">
        <v>740</v>
      </c>
      <c r="L311" s="44">
        <f>L283</f>
        <v>25</v>
      </c>
      <c r="M311" s="71" t="s">
        <v>364</v>
      </c>
      <c r="O311" s="16"/>
      <c r="P311" s="8"/>
      <c r="Q311" s="18"/>
      <c r="R311" s="98" t="s">
        <v>1021</v>
      </c>
    </row>
    <row r="312" spans="1:18" ht="31.2">
      <c r="A312" s="3" cm="1">
        <f t="array" aca="1" ref="A312" ca="1">INDIRECT("A"&amp;ROW()-1)+1</f>
        <v>169</v>
      </c>
      <c r="B312" s="3">
        <v>167</v>
      </c>
      <c r="C312" s="3" t="str">
        <f ca="1">A288&amp;"any['PWM']"</f>
        <v>160any['PWM']</v>
      </c>
      <c r="D312" s="4" t="s">
        <v>742</v>
      </c>
      <c r="E312" s="11" t="s">
        <v>148</v>
      </c>
      <c r="F312" s="45" t="s">
        <v>126</v>
      </c>
      <c r="H312" s="80">
        <v>1</v>
      </c>
      <c r="I312" s="15" t="s">
        <v>130</v>
      </c>
      <c r="J312" s="15"/>
      <c r="K312" s="70" t="s">
        <v>744</v>
      </c>
      <c r="L312" s="44">
        <f>L283</f>
        <v>25</v>
      </c>
      <c r="M312" s="71" t="s">
        <v>364</v>
      </c>
      <c r="O312" s="16"/>
      <c r="P312" s="8"/>
      <c r="Q312" s="18"/>
      <c r="R312" s="98" t="s">
        <v>1022</v>
      </c>
    </row>
    <row r="313" spans="1:18" ht="31.2">
      <c r="A313" s="3" cm="1">
        <f t="array" aca="1" ref="A313" ca="1">INDIRECT("A"&amp;ROW()-1)+1</f>
        <v>170</v>
      </c>
      <c r="B313" s="3">
        <v>168</v>
      </c>
      <c r="C313" s="3" t="str">
        <f ca="1">A289&amp;"any['外部触发']"</f>
        <v>160any['外部触发']</v>
      </c>
      <c r="D313" s="4" t="s">
        <v>741</v>
      </c>
      <c r="E313" s="11" t="s">
        <v>148</v>
      </c>
      <c r="F313" s="45" t="s">
        <v>126</v>
      </c>
      <c r="H313" s="80">
        <v>1</v>
      </c>
      <c r="I313" s="15" t="s">
        <v>130</v>
      </c>
      <c r="J313" s="15"/>
      <c r="K313" s="70" t="s">
        <v>743</v>
      </c>
      <c r="L313" s="44">
        <f>L283</f>
        <v>25</v>
      </c>
      <c r="M313" s="71" t="s">
        <v>364</v>
      </c>
      <c r="O313" s="16"/>
      <c r="P313" s="8"/>
      <c r="Q313" s="18"/>
      <c r="R313" s="98" t="s">
        <v>1023</v>
      </c>
    </row>
    <row r="314" spans="1:18" ht="31.2">
      <c r="A314" s="3" cm="1">
        <f t="array" aca="1" ref="A314" ca="1">INDIRECT("A"&amp;ROW()-1)+1</f>
        <v>171</v>
      </c>
      <c r="B314" s="3">
        <v>169</v>
      </c>
      <c r="C314" s="3" t="str">
        <f ca="1">A290&amp;"any['IIC']"</f>
        <v>160any['IIC']</v>
      </c>
      <c r="D314" s="4" t="s">
        <v>753</v>
      </c>
      <c r="E314" s="11" t="s">
        <v>148</v>
      </c>
      <c r="F314" s="45" t="s">
        <v>126</v>
      </c>
      <c r="H314" s="80">
        <v>1</v>
      </c>
      <c r="I314" s="15" t="s">
        <v>130</v>
      </c>
      <c r="J314" s="15"/>
      <c r="K314" s="70" t="s">
        <v>754</v>
      </c>
      <c r="L314" s="44">
        <f>L283</f>
        <v>25</v>
      </c>
      <c r="M314" s="71" t="s">
        <v>364</v>
      </c>
      <c r="O314" s="16"/>
      <c r="P314" s="8"/>
      <c r="Q314" s="18"/>
      <c r="R314" s="98" t="s">
        <v>1024</v>
      </c>
    </row>
    <row r="315" spans="1:18" ht="31.2">
      <c r="A315" s="3" cm="1">
        <f t="array" aca="1" ref="A315" ca="1">INDIRECT("A"&amp;ROW()-1)+1</f>
        <v>172</v>
      </c>
      <c r="B315" s="3">
        <v>170</v>
      </c>
      <c r="C315" s="3" t="str">
        <f ca="1">A291&amp;"any['SPI']"</f>
        <v>160any['SPI']</v>
      </c>
      <c r="D315" s="4" t="s">
        <v>755</v>
      </c>
      <c r="E315" s="11" t="s">
        <v>148</v>
      </c>
      <c r="F315" s="45" t="s">
        <v>126</v>
      </c>
      <c r="H315" s="80">
        <v>1</v>
      </c>
      <c r="I315" s="15" t="s">
        <v>130</v>
      </c>
      <c r="J315" s="15"/>
      <c r="K315" s="70" t="s">
        <v>756</v>
      </c>
      <c r="L315" s="44">
        <f>L283</f>
        <v>25</v>
      </c>
      <c r="M315" s="71" t="s">
        <v>364</v>
      </c>
      <c r="O315" s="16"/>
      <c r="P315" s="8"/>
      <c r="Q315" s="18"/>
      <c r="R315" s="98" t="s">
        <v>1025</v>
      </c>
    </row>
    <row r="316" spans="1:18" ht="31.2">
      <c r="A316" s="3" cm="1">
        <f t="array" aca="1" ref="A316" ca="1">INDIRECT("A"&amp;ROW()-1)+1</f>
        <v>173</v>
      </c>
      <c r="B316" s="3">
        <v>171</v>
      </c>
      <c r="C316" s="3" t="str">
        <f ca="1">A292&amp;"any['按键开关','踏板']"</f>
        <v>160any['按键开关','踏板']</v>
      </c>
      <c r="D316" s="4" t="s">
        <v>757</v>
      </c>
      <c r="E316" s="11" t="s">
        <v>148</v>
      </c>
      <c r="F316" s="45" t="s">
        <v>126</v>
      </c>
      <c r="H316" s="80">
        <v>1</v>
      </c>
      <c r="I316" s="15" t="s">
        <v>130</v>
      </c>
      <c r="J316" s="15"/>
      <c r="K316" s="70" t="s">
        <v>758</v>
      </c>
      <c r="L316" s="44">
        <f>L283</f>
        <v>25</v>
      </c>
      <c r="M316" s="71" t="s">
        <v>364</v>
      </c>
      <c r="O316" s="16"/>
      <c r="P316" s="8"/>
      <c r="Q316" s="18"/>
      <c r="R316" s="98" t="s">
        <v>1026</v>
      </c>
    </row>
    <row r="317" spans="1:18" ht="46.8">
      <c r="A317" s="3" cm="1">
        <f t="array" aca="1" ref="A317" ca="1">INDIRECT("A"&amp;ROW()-1)+1</f>
        <v>174</v>
      </c>
      <c r="B317" s="3">
        <v>172</v>
      </c>
      <c r="C317" s="3" t="str">
        <f ca="1">A293&amp;"any['编码器']"</f>
        <v>160any['编码器']</v>
      </c>
      <c r="D317" s="4" t="s">
        <v>759</v>
      </c>
      <c r="E317" s="11" t="s">
        <v>148</v>
      </c>
      <c r="F317" s="45" t="s">
        <v>126</v>
      </c>
      <c r="H317" s="80">
        <v>1</v>
      </c>
      <c r="I317" s="15" t="s">
        <v>130</v>
      </c>
      <c r="J317" s="15"/>
      <c r="K317" s="70" t="s">
        <v>760</v>
      </c>
      <c r="L317" s="44">
        <f>L283</f>
        <v>25</v>
      </c>
      <c r="M317" s="71" t="s">
        <v>364</v>
      </c>
      <c r="O317" s="16"/>
      <c r="P317" s="8"/>
      <c r="Q317" s="18"/>
      <c r="R317" s="98" t="s">
        <v>1027</v>
      </c>
    </row>
    <row r="318" spans="1:18" ht="31.2">
      <c r="A318" s="3" cm="1">
        <f t="array" aca="1" ref="A318" ca="1">INDIRECT("A"&amp;ROW()-1)+1</f>
        <v>175</v>
      </c>
      <c r="B318" s="3">
        <v>173</v>
      </c>
      <c r="C318" s="3" t="str">
        <f ca="1">A294&amp;"any['触控屏']"</f>
        <v>160any['触控屏']</v>
      </c>
      <c r="D318" s="4" t="s">
        <v>761</v>
      </c>
      <c r="E318" s="11" t="s">
        <v>148</v>
      </c>
      <c r="F318" s="45" t="s">
        <v>126</v>
      </c>
      <c r="H318" s="80">
        <v>1</v>
      </c>
      <c r="I318" s="15" t="s">
        <v>130</v>
      </c>
      <c r="J318" s="15"/>
      <c r="K318" s="70" t="s">
        <v>762</v>
      </c>
      <c r="L318" s="44">
        <f>L283</f>
        <v>25</v>
      </c>
      <c r="M318" s="71" t="s">
        <v>364</v>
      </c>
      <c r="O318" s="16"/>
      <c r="P318" s="8"/>
      <c r="Q318" s="18"/>
      <c r="R318" s="98" t="s">
        <v>1028</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514</v>
      </c>
      <c r="R319" s="98" t="s">
        <v>827</v>
      </c>
    </row>
    <row r="320" spans="1:18">
      <c r="A320" s="3" cm="1">
        <f t="array" aca="1" ref="A320" ca="1">INDIRECT("A"&amp;ROW()-1)</f>
        <v>176</v>
      </c>
      <c r="B320" s="3" t="s">
        <v>901</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808</v>
      </c>
      <c r="L321" s="3">
        <f>L319</f>
        <v>26</v>
      </c>
      <c r="M321" s="42" t="s">
        <v>365</v>
      </c>
      <c r="R321" s="39" t="s">
        <v>327</v>
      </c>
    </row>
    <row r="322" spans="1:18">
      <c r="A322" s="3" cm="1">
        <f t="array" aca="1" ref="A322" ca="1">INDIRECT("A"&amp;ROW()-1)</f>
        <v>177</v>
      </c>
      <c r="B322" s="3" t="s">
        <v>901</v>
      </c>
      <c r="F322" s="55" t="str">
        <f t="shared" si="4"/>
        <v>FALSE</v>
      </c>
      <c r="G322" s="5" t="s">
        <v>40</v>
      </c>
      <c r="H322" s="80">
        <v>2</v>
      </c>
      <c r="I322" s="7" t="s">
        <v>40</v>
      </c>
      <c r="J322" s="7" t="s">
        <v>40</v>
      </c>
    </row>
    <row r="323" spans="1:18">
      <c r="A323" s="3" cm="1">
        <f t="array" aca="1" ref="A323" ca="1">INDIRECT("A"&amp;ROW()-1)</f>
        <v>177</v>
      </c>
      <c r="B323" s="3" t="s">
        <v>901</v>
      </c>
      <c r="F323" s="55" t="str">
        <f t="shared" si="4"/>
        <v>FALSE</v>
      </c>
      <c r="G323" s="5" t="s">
        <v>42</v>
      </c>
      <c r="H323" s="80">
        <v>3</v>
      </c>
      <c r="I323" s="7" t="s">
        <v>42</v>
      </c>
      <c r="J323" s="7" t="s">
        <v>42</v>
      </c>
    </row>
    <row r="324" spans="1:18">
      <c r="A324" s="3" cm="1">
        <f t="array" aca="1" ref="A324" ca="1">INDIRECT("A"&amp;ROW()-1)</f>
        <v>177</v>
      </c>
      <c r="B324" s="3" t="s">
        <v>901</v>
      </c>
      <c r="F324" s="55" t="str">
        <f t="shared" si="4"/>
        <v>FALSE</v>
      </c>
      <c r="G324" s="23" t="s">
        <v>44</v>
      </c>
      <c r="H324" s="80">
        <v>4</v>
      </c>
      <c r="I324" s="7" t="s">
        <v>44</v>
      </c>
      <c r="J324" s="7" t="s">
        <v>44</v>
      </c>
    </row>
    <row r="325" spans="1:18">
      <c r="A325" s="3" cm="1">
        <f t="array" aca="1" ref="A325" ca="1">INDIRECT("A"&amp;ROW()-1)</f>
        <v>177</v>
      </c>
      <c r="B325" s="3" t="s">
        <v>901</v>
      </c>
      <c r="F325" s="55" t="str">
        <f t="shared" si="4"/>
        <v>FALSE</v>
      </c>
      <c r="G325" s="5" t="s">
        <v>92</v>
      </c>
      <c r="H325" s="80">
        <v>5</v>
      </c>
      <c r="I325" s="7" t="s">
        <v>92</v>
      </c>
      <c r="J325" s="7" t="s">
        <v>92</v>
      </c>
    </row>
    <row r="326" spans="1:18">
      <c r="A326" s="3" cm="1">
        <f t="array" aca="1" ref="A326" ca="1">INDIRECT("A"&amp;ROW()-1)</f>
        <v>177</v>
      </c>
      <c r="B326" s="3" t="s">
        <v>901</v>
      </c>
      <c r="F326" s="55" t="str">
        <f t="shared" si="4"/>
        <v>FALSE</v>
      </c>
      <c r="G326" s="5" t="s">
        <v>93</v>
      </c>
      <c r="H326" s="80">
        <v>6</v>
      </c>
      <c r="I326" s="7" t="s">
        <v>93</v>
      </c>
      <c r="J326" s="7" t="s">
        <v>93</v>
      </c>
    </row>
    <row r="327" spans="1:18">
      <c r="A327" s="3" cm="1">
        <f t="array" aca="1" ref="A327" ca="1">INDIRECT("A"&amp;ROW()-1)</f>
        <v>177</v>
      </c>
      <c r="B327" s="3" t="s">
        <v>901</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901</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901</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807</v>
      </c>
      <c r="L333" s="3">
        <f>L331</f>
        <v>26</v>
      </c>
      <c r="M333" s="42" t="s">
        <v>365</v>
      </c>
      <c r="R333" s="19" t="s">
        <v>202</v>
      </c>
    </row>
    <row r="334" spans="1:18">
      <c r="A334" s="3" cm="1">
        <f t="array" aca="1" ref="A334" ca="1">INDIRECT("A"&amp;ROW()-1)</f>
        <v>181</v>
      </c>
      <c r="B334" s="3" t="s">
        <v>901</v>
      </c>
      <c r="F334" s="55" t="str">
        <f>F333</f>
        <v>FALSE</v>
      </c>
      <c r="G334" s="5" t="s">
        <v>134</v>
      </c>
      <c r="H334" s="80">
        <v>2</v>
      </c>
      <c r="I334" s="7" t="s">
        <v>134</v>
      </c>
      <c r="J334" s="7" t="s">
        <v>134</v>
      </c>
    </row>
    <row r="335" spans="1:18" ht="31.2">
      <c r="A335" s="3" cm="1">
        <f t="array" aca="1" ref="A335" ca="1">INDIRECT("A"&amp;ROW()-1)</f>
        <v>181</v>
      </c>
      <c r="B335" s="3" t="s">
        <v>901</v>
      </c>
      <c r="F335" s="55" t="str">
        <f>F334</f>
        <v>FALSE</v>
      </c>
      <c r="G335" s="60" t="s">
        <v>519</v>
      </c>
      <c r="H335" s="80">
        <v>3</v>
      </c>
      <c r="I335" s="60" t="s">
        <v>519</v>
      </c>
      <c r="J335" s="60" t="s">
        <v>519</v>
      </c>
    </row>
    <row r="336" spans="1:18">
      <c r="A336" s="3" cm="1">
        <f t="array" aca="1" ref="A336" ca="1">INDIRECT("A"&amp;ROW()-1)</f>
        <v>181</v>
      </c>
      <c r="B336" s="3" t="s">
        <v>901</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751</v>
      </c>
      <c r="E337" s="11" t="s">
        <v>148</v>
      </c>
      <c r="F337" s="56" t="s">
        <v>126</v>
      </c>
      <c r="H337" s="80">
        <v>1</v>
      </c>
      <c r="I337" s="15" t="s">
        <v>130</v>
      </c>
      <c r="J337" s="15"/>
      <c r="K337" s="70" t="s">
        <v>752</v>
      </c>
      <c r="L337" s="44">
        <f>L333</f>
        <v>26</v>
      </c>
      <c r="M337" s="42" t="s">
        <v>364</v>
      </c>
      <c r="O337" s="16"/>
      <c r="P337" s="8"/>
      <c r="Q337" s="18"/>
      <c r="R337" s="98" t="s">
        <v>1029</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515</v>
      </c>
      <c r="R338" s="98" t="s">
        <v>1030</v>
      </c>
    </row>
    <row r="339" spans="1:18">
      <c r="A339" s="3" cm="1">
        <f t="array" aca="1" ref="A339" ca="1">INDIRECT("A"&amp;ROW()-1)</f>
        <v>183</v>
      </c>
      <c r="B339" s="3" t="s">
        <v>901</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806</v>
      </c>
      <c r="L340" s="3">
        <f>L338</f>
        <v>26</v>
      </c>
      <c r="M340" s="42" t="s">
        <v>365</v>
      </c>
      <c r="R340" s="19" t="s">
        <v>203</v>
      </c>
    </row>
    <row r="341" spans="1:18">
      <c r="A341" s="3" cm="1">
        <f t="array" aca="1" ref="A341" ca="1">INDIRECT("A"&amp;ROW()-1)</f>
        <v>184</v>
      </c>
      <c r="B341" s="3" t="s">
        <v>901</v>
      </c>
      <c r="F341" s="55" t="str">
        <f>F340</f>
        <v>FALSE</v>
      </c>
      <c r="G341" s="5" t="s">
        <v>96</v>
      </c>
      <c r="H341" s="80">
        <v>2</v>
      </c>
      <c r="I341" s="7" t="s">
        <v>96</v>
      </c>
      <c r="J341" s="7" t="s">
        <v>96</v>
      </c>
    </row>
    <row r="342" spans="1:18">
      <c r="A342" s="3" cm="1">
        <f t="array" aca="1" ref="A342" ca="1">INDIRECT("A"&amp;ROW()-1)</f>
        <v>184</v>
      </c>
      <c r="B342" s="3" t="s">
        <v>901</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901</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594</v>
      </c>
      <c r="E346" s="5" t="s">
        <v>5</v>
      </c>
      <c r="F346" s="56" t="s">
        <v>135</v>
      </c>
      <c r="G346" s="68" t="s">
        <v>600</v>
      </c>
      <c r="H346" s="80">
        <v>1</v>
      </c>
      <c r="I346" s="68" t="s">
        <v>595</v>
      </c>
      <c r="J346" s="68" t="s">
        <v>602</v>
      </c>
      <c r="K346" s="52" t="s">
        <v>471</v>
      </c>
      <c r="L346" s="48">
        <f>L321</f>
        <v>26</v>
      </c>
      <c r="M346" s="42" t="s">
        <v>365</v>
      </c>
      <c r="N346" s="70" t="s">
        <v>598</v>
      </c>
      <c r="R346" s="98" t="s">
        <v>1031</v>
      </c>
    </row>
    <row r="347" spans="1:18" ht="31.2">
      <c r="A347" s="3" cm="1">
        <f t="array" aca="1" ref="A347" ca="1">INDIRECT("A"&amp;ROW()-1)</f>
        <v>187</v>
      </c>
      <c r="B347" s="3" t="s">
        <v>901</v>
      </c>
      <c r="F347" s="56" t="s">
        <v>135</v>
      </c>
      <c r="G347" s="68" t="s">
        <v>601</v>
      </c>
      <c r="H347" s="80">
        <v>2</v>
      </c>
      <c r="I347" s="68" t="s">
        <v>596</v>
      </c>
      <c r="J347" s="68" t="s">
        <v>603</v>
      </c>
      <c r="K347" s="52" t="s">
        <v>471</v>
      </c>
      <c r="L347" s="48"/>
      <c r="M347" s="42"/>
      <c r="N347" s="70" t="s">
        <v>599</v>
      </c>
      <c r="R347" s="39"/>
    </row>
    <row r="348" spans="1:18" ht="22.2" customHeight="1">
      <c r="A348" s="3" cm="1">
        <f t="array" aca="1" ref="A348" ca="1">INDIRECT("A"&amp;ROW()-1)</f>
        <v>187</v>
      </c>
      <c r="B348" s="3" t="s">
        <v>901</v>
      </c>
      <c r="F348" s="56" t="s">
        <v>135</v>
      </c>
      <c r="G348" s="68" t="s">
        <v>463</v>
      </c>
      <c r="H348" s="80">
        <v>3</v>
      </c>
      <c r="I348" s="68" t="s">
        <v>597</v>
      </c>
      <c r="J348" s="68" t="s">
        <v>463</v>
      </c>
      <c r="K348" s="52" t="s">
        <v>471</v>
      </c>
      <c r="L348" s="48"/>
      <c r="M348" s="48"/>
    </row>
    <row r="349" spans="1:18" ht="31.2">
      <c r="A349" s="3" cm="1">
        <f t="array" aca="1" ref="A349" ca="1">INDIRECT("A"&amp;ROW()-1)+1</f>
        <v>188</v>
      </c>
      <c r="B349" s="3">
        <v>186</v>
      </c>
      <c r="C349" s="3" t="str">
        <f ca="1">A346&amp;"==供定制"</f>
        <v>187==供定制</v>
      </c>
      <c r="D349" s="4" t="s">
        <v>611</v>
      </c>
      <c r="E349" s="11" t="s">
        <v>148</v>
      </c>
      <c r="F349" s="45" t="s">
        <v>126</v>
      </c>
      <c r="H349" s="80">
        <v>1</v>
      </c>
      <c r="I349" s="15" t="s">
        <v>130</v>
      </c>
      <c r="J349" s="15"/>
      <c r="K349" s="70" t="s">
        <v>604</v>
      </c>
      <c r="L349" s="44">
        <f>L346</f>
        <v>26</v>
      </c>
      <c r="M349" s="42" t="s">
        <v>365</v>
      </c>
      <c r="O349" s="16"/>
      <c r="P349" s="8"/>
      <c r="Q349" s="18"/>
      <c r="R349" s="69" t="s">
        <v>605</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502</v>
      </c>
      <c r="R350" s="98" t="s">
        <v>209</v>
      </c>
    </row>
    <row r="351" spans="1:18">
      <c r="A351" s="3" cm="1">
        <f t="array" aca="1" ref="A351" ca="1">INDIRECT("A"&amp;ROW()-1)</f>
        <v>189</v>
      </c>
      <c r="B351" s="3" t="s">
        <v>901</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1032</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1033</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516</v>
      </c>
      <c r="R354" s="19" t="s">
        <v>206</v>
      </c>
    </row>
    <row r="355" spans="1:18">
      <c r="A355" s="3" cm="1">
        <f t="array" aca="1" ref="A355" ca="1">INDIRECT("A"&amp;ROW()-1)</f>
        <v>192</v>
      </c>
      <c r="B355" s="3" t="s">
        <v>901</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1034</v>
      </c>
    </row>
    <row r="357" spans="1:18">
      <c r="A357" s="3" cm="1">
        <f t="array" aca="1" ref="A357" ca="1">INDIRECT("A"&amp;ROW()-1)+1</f>
        <v>194</v>
      </c>
      <c r="B357" s="3">
        <v>192</v>
      </c>
      <c r="C357" s="3" t="str">
        <f ca="1">A354&amp;"==True"</f>
        <v>192==True</v>
      </c>
      <c r="D357" s="4" t="s">
        <v>701</v>
      </c>
      <c r="E357" s="68" t="s">
        <v>6</v>
      </c>
      <c r="F357" s="56" t="s">
        <v>135</v>
      </c>
      <c r="G357" s="68" t="s">
        <v>702</v>
      </c>
      <c r="H357" s="80">
        <v>1</v>
      </c>
      <c r="I357" s="68" t="s">
        <v>702</v>
      </c>
      <c r="J357" s="68" t="s">
        <v>702</v>
      </c>
      <c r="K357" s="70" t="s">
        <v>704</v>
      </c>
      <c r="L357" s="43">
        <f>L354</f>
        <v>31</v>
      </c>
      <c r="M357" s="71" t="s">
        <v>355</v>
      </c>
      <c r="N357" s="51"/>
      <c r="R357" s="98" t="s">
        <v>1035</v>
      </c>
    </row>
    <row r="358" spans="1:18">
      <c r="A358" s="3" cm="1">
        <f t="array" aca="1" ref="A358" ca="1">INDIRECT("A"&amp;ROW()-1)</f>
        <v>194</v>
      </c>
      <c r="B358" s="3" t="s">
        <v>901</v>
      </c>
      <c r="F358" s="56" t="s">
        <v>135</v>
      </c>
      <c r="G358" s="68" t="s">
        <v>703</v>
      </c>
      <c r="H358" s="80">
        <v>2</v>
      </c>
      <c r="I358" s="68" t="s">
        <v>703</v>
      </c>
      <c r="J358" s="68" t="s">
        <v>703</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517</v>
      </c>
      <c r="R359" s="19" t="s">
        <v>207</v>
      </c>
    </row>
    <row r="360" spans="1:18">
      <c r="A360" s="3" cm="1">
        <f t="array" aca="1" ref="A360" ca="1">INDIRECT("A"&amp;ROW()-1)</f>
        <v>195</v>
      </c>
      <c r="B360" s="3" t="s">
        <v>901</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518</v>
      </c>
      <c r="R362" s="98" t="s">
        <v>1036</v>
      </c>
    </row>
    <row r="363" spans="1:18">
      <c r="A363" s="3" cm="1">
        <f t="array" aca="1" ref="A363" ca="1">INDIRECT("A"&amp;ROW()-1)</f>
        <v>197</v>
      </c>
      <c r="B363" s="3" t="s">
        <v>901</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503</v>
      </c>
      <c r="R365" s="19" t="s">
        <v>211</v>
      </c>
    </row>
    <row r="366" spans="1:18">
      <c r="A366" s="3" cm="1">
        <f t="array" aca="1" ref="A366" ca="1">INDIRECT("A"&amp;ROW()-1)</f>
        <v>199</v>
      </c>
      <c r="B366" s="3" t="s">
        <v>901</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504</v>
      </c>
      <c r="R368" s="78" t="s">
        <v>786</v>
      </c>
    </row>
    <row r="369" spans="1:18">
      <c r="A369" s="3" cm="1">
        <f t="array" aca="1" ref="A369" ca="1">INDIRECT("A"&amp;ROW()-1)</f>
        <v>201</v>
      </c>
      <c r="B369" s="3" t="s">
        <v>901</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1037</v>
      </c>
    </row>
    <row r="372" spans="1:18">
      <c r="A372" s="3" cm="1">
        <f t="array" aca="1" ref="A372" ca="1">INDIRECT("A"&amp;ROW()-1)</f>
        <v>203</v>
      </c>
      <c r="B372" s="3" t="s">
        <v>901</v>
      </c>
      <c r="F372" s="55" t="str">
        <f>F371</f>
        <v>FALSE</v>
      </c>
      <c r="G372" s="5" t="s">
        <v>99</v>
      </c>
      <c r="H372" s="80">
        <v>2</v>
      </c>
      <c r="I372" s="7" t="s">
        <v>99</v>
      </c>
      <c r="J372" s="7" t="s">
        <v>99</v>
      </c>
      <c r="N372" s="7"/>
    </row>
    <row r="373" spans="1:18">
      <c r="A373" s="3" cm="1">
        <f t="array" aca="1" ref="A373" ca="1">INDIRECT("A"&amp;ROW()-1)</f>
        <v>203</v>
      </c>
      <c r="B373" s="3" t="s">
        <v>901</v>
      </c>
      <c r="F373" s="55" t="str">
        <f>F372</f>
        <v>FALSE</v>
      </c>
      <c r="G373" s="5" t="s">
        <v>100</v>
      </c>
      <c r="H373" s="80">
        <v>3</v>
      </c>
      <c r="I373" s="7" t="s">
        <v>100</v>
      </c>
      <c r="J373" s="7" t="s">
        <v>100</v>
      </c>
      <c r="N373" s="7"/>
    </row>
    <row r="374" spans="1:18">
      <c r="A374" s="3" cm="1">
        <f t="array" aca="1" ref="A374" ca="1">INDIRECT("A"&amp;ROW()-1)</f>
        <v>203</v>
      </c>
      <c r="B374" s="3" t="s">
        <v>901</v>
      </c>
      <c r="F374" s="55" t="str">
        <f>F373</f>
        <v>FALSE</v>
      </c>
      <c r="G374" s="5" t="s">
        <v>101</v>
      </c>
      <c r="H374" s="80">
        <v>4</v>
      </c>
      <c r="I374" s="7" t="s">
        <v>101</v>
      </c>
      <c r="J374" s="7" t="s">
        <v>101</v>
      </c>
      <c r="N374" s="7"/>
    </row>
    <row r="375" spans="1:18">
      <c r="A375" s="3" cm="1">
        <f t="array" aca="1" ref="A375" ca="1">INDIRECT("A"&amp;ROW()-1)</f>
        <v>203</v>
      </c>
      <c r="B375" s="3" t="s">
        <v>901</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564</v>
      </c>
      <c r="E376" s="5" t="s">
        <v>5</v>
      </c>
      <c r="F376" s="56" t="s">
        <v>135</v>
      </c>
      <c r="G376" s="5" t="s">
        <v>1</v>
      </c>
      <c r="H376" s="80">
        <v>1</v>
      </c>
      <c r="I376" s="7" t="b">
        <v>1</v>
      </c>
      <c r="J376" s="65" t="s">
        <v>267</v>
      </c>
      <c r="K376" s="52"/>
      <c r="L376" s="48">
        <f>L371</f>
        <v>41</v>
      </c>
      <c r="M376" s="66" t="s">
        <v>366</v>
      </c>
      <c r="N376" s="58"/>
      <c r="R376" s="98" t="s">
        <v>1038</v>
      </c>
    </row>
    <row r="377" spans="1:18">
      <c r="A377" s="3" cm="1">
        <f t="array" aca="1" ref="A377" ca="1">INDIRECT("A"&amp;ROW()-1)</f>
        <v>204</v>
      </c>
      <c r="B377" s="3" t="s">
        <v>901</v>
      </c>
      <c r="F377" s="55" t="str">
        <f>F376</f>
        <v>FALSE</v>
      </c>
      <c r="G377" s="5" t="s">
        <v>2</v>
      </c>
      <c r="H377" s="80">
        <v>2</v>
      </c>
      <c r="I377" s="7" t="b">
        <v>0</v>
      </c>
      <c r="J377" s="65" t="s">
        <v>567</v>
      </c>
      <c r="K377" s="65" t="s">
        <v>566</v>
      </c>
      <c r="L377" s="48"/>
      <c r="M377" s="48"/>
    </row>
    <row r="378" spans="1:18" ht="31.2">
      <c r="A378" s="3" cm="1">
        <f t="array" aca="1" ref="A378" ca="1">INDIRECT("A"&amp;ROW()-1)+1</f>
        <v>205</v>
      </c>
      <c r="B378" s="3">
        <v>203</v>
      </c>
      <c r="C378" s="3" t="str">
        <f ca="1">A376&amp;"==True"</f>
        <v>204==True</v>
      </c>
      <c r="D378" s="4" t="s">
        <v>563</v>
      </c>
      <c r="E378" s="11" t="s">
        <v>148</v>
      </c>
      <c r="F378" s="45" t="s">
        <v>126</v>
      </c>
      <c r="H378" s="80">
        <v>1</v>
      </c>
      <c r="I378" s="15" t="s">
        <v>130</v>
      </c>
      <c r="J378" s="15"/>
      <c r="K378" s="67" t="s">
        <v>565</v>
      </c>
      <c r="L378" s="44">
        <f>L376</f>
        <v>41</v>
      </c>
      <c r="M378" s="42" t="s">
        <v>367</v>
      </c>
      <c r="O378" s="16"/>
      <c r="P378" s="8"/>
      <c r="Q378" s="18"/>
      <c r="R378" s="64" t="s">
        <v>568</v>
      </c>
    </row>
    <row r="379" spans="1:18" ht="62.4">
      <c r="A379" s="3" cm="1">
        <f t="array" aca="1" ref="A379" ca="1">INDIRECT("A"&amp;ROW()-1)+1</f>
        <v>206</v>
      </c>
      <c r="B379" s="3">
        <v>204</v>
      </c>
      <c r="C379" s="66" t="str">
        <f>A2&amp;"!=代工"</f>
        <v>1!=代工</v>
      </c>
      <c r="D379" s="4" t="s">
        <v>615</v>
      </c>
      <c r="E379" s="5" t="s">
        <v>5</v>
      </c>
      <c r="F379" s="56" t="s">
        <v>135</v>
      </c>
      <c r="G379" s="5" t="s">
        <v>1</v>
      </c>
      <c r="H379" s="80">
        <v>1</v>
      </c>
      <c r="I379" s="7" t="b">
        <v>1</v>
      </c>
      <c r="J379" s="65" t="s">
        <v>267</v>
      </c>
      <c r="K379" s="52"/>
      <c r="L379" s="48">
        <f>L371</f>
        <v>41</v>
      </c>
      <c r="M379" s="71" t="s">
        <v>355</v>
      </c>
      <c r="N379" s="58"/>
      <c r="R379" s="83" t="s">
        <v>828</v>
      </c>
    </row>
    <row r="380" spans="1:18">
      <c r="A380" s="3" cm="1">
        <f t="array" aca="1" ref="A380" ca="1">INDIRECT("A"&amp;ROW()-1)</f>
        <v>206</v>
      </c>
      <c r="B380" s="3" t="s">
        <v>901</v>
      </c>
      <c r="F380" s="55" t="str">
        <f>F379</f>
        <v>FALSE</v>
      </c>
      <c r="G380" s="5" t="s">
        <v>2</v>
      </c>
      <c r="H380" s="80">
        <v>2</v>
      </c>
      <c r="I380" s="7" t="b">
        <v>0</v>
      </c>
      <c r="J380" s="65" t="s">
        <v>567</v>
      </c>
      <c r="K380" s="68" t="s">
        <v>618</v>
      </c>
      <c r="L380" s="48"/>
      <c r="M380" s="48"/>
    </row>
    <row r="381" spans="1:18">
      <c r="A381" s="3" cm="1">
        <f t="array" aca="1" ref="A381" ca="1">INDIRECT("A"&amp;ROW()-1)+1</f>
        <v>207</v>
      </c>
      <c r="B381" s="3">
        <v>205</v>
      </c>
      <c r="C381" s="3" t="str">
        <f ca="1">A379&amp;"==True"</f>
        <v>206==True</v>
      </c>
      <c r="D381" s="4" t="s">
        <v>616</v>
      </c>
      <c r="E381" s="11" t="s">
        <v>148</v>
      </c>
      <c r="F381" s="45" t="s">
        <v>126</v>
      </c>
      <c r="H381" s="80">
        <v>1</v>
      </c>
      <c r="I381" s="15" t="s">
        <v>130</v>
      </c>
      <c r="J381" s="15"/>
      <c r="K381" s="70" t="s">
        <v>617</v>
      </c>
      <c r="L381" s="44">
        <f>L379</f>
        <v>41</v>
      </c>
      <c r="M381" s="71" t="s">
        <v>355</v>
      </c>
      <c r="O381" s="16"/>
      <c r="P381" s="8"/>
      <c r="Q381" s="18"/>
      <c r="R381" s="69" t="s">
        <v>619</v>
      </c>
    </row>
    <row r="382" spans="1:18" ht="31.2">
      <c r="A382" s="3" cm="1">
        <f t="array" aca="1" ref="A382" ca="1">INDIRECT("A"&amp;ROW()-1)+1</f>
        <v>208</v>
      </c>
      <c r="B382" s="3">
        <v>206</v>
      </c>
      <c r="C382" s="3" t="str">
        <f ca="1">A12&amp;"any['光学','光源']"</f>
        <v>7any['光学','光源']</v>
      </c>
      <c r="D382" s="4" t="s">
        <v>663</v>
      </c>
      <c r="E382" s="5" t="s">
        <v>5</v>
      </c>
      <c r="F382" s="56" t="s">
        <v>135</v>
      </c>
      <c r="G382" s="5" t="s">
        <v>1</v>
      </c>
      <c r="H382" s="80">
        <v>1</v>
      </c>
      <c r="I382" s="7" t="b">
        <v>1</v>
      </c>
      <c r="J382" s="37" t="s">
        <v>267</v>
      </c>
      <c r="L382" s="48">
        <v>99</v>
      </c>
      <c r="M382" s="71" t="s">
        <v>666</v>
      </c>
      <c r="N382" s="61" t="s">
        <v>521</v>
      </c>
      <c r="R382" s="62" t="s">
        <v>522</v>
      </c>
    </row>
    <row r="383" spans="1:18">
      <c r="A383" s="3" cm="1">
        <f t="array" aca="1" ref="A383" ca="1">INDIRECT("A"&amp;ROW()-1)</f>
        <v>208</v>
      </c>
      <c r="B383" s="3" t="s">
        <v>901</v>
      </c>
      <c r="F383" s="55" t="str">
        <f>F382</f>
        <v>FALSE</v>
      </c>
      <c r="G383" s="5" t="s">
        <v>2</v>
      </c>
      <c r="H383" s="80">
        <v>2</v>
      </c>
      <c r="I383" s="7" t="b">
        <v>0</v>
      </c>
      <c r="J383" s="86" t="s">
        <v>567</v>
      </c>
      <c r="K383" s="70" t="s">
        <v>520</v>
      </c>
      <c r="L383" s="48"/>
      <c r="M383" s="48"/>
    </row>
    <row r="384" spans="1:18" ht="31.2">
      <c r="A384" s="3" cm="1">
        <f t="array" aca="1" ref="A384" ca="1">INDIRECT("A"&amp;ROW()-1)+1</f>
        <v>209</v>
      </c>
      <c r="B384" s="3">
        <v>207</v>
      </c>
      <c r="C384" s="3" t="str">
        <f ca="1">A382&amp;"==True"</f>
        <v>208==True</v>
      </c>
      <c r="D384" s="4" t="s">
        <v>664</v>
      </c>
      <c r="E384" s="11" t="s">
        <v>148</v>
      </c>
      <c r="F384" s="56" t="s">
        <v>126</v>
      </c>
      <c r="H384" s="80">
        <v>1</v>
      </c>
      <c r="I384" s="18" t="s">
        <v>130</v>
      </c>
      <c r="J384" s="18"/>
      <c r="K384" s="70" t="s">
        <v>665</v>
      </c>
      <c r="L384" s="47">
        <f>L382</f>
        <v>99</v>
      </c>
      <c r="M384" s="71" t="s">
        <v>666</v>
      </c>
      <c r="N384" s="58"/>
      <c r="R384" s="62" t="s">
        <v>523</v>
      </c>
    </row>
    <row r="385" spans="1:18" ht="31.2">
      <c r="A385" s="3" cm="1">
        <f t="array" aca="1" ref="A385" ca="1">INDIRECT("A"&amp;ROW()-1)+1</f>
        <v>210</v>
      </c>
      <c r="B385" s="3">
        <v>208</v>
      </c>
      <c r="C385" s="3" t="str">
        <f ca="1">A12&amp;"any['结构']"</f>
        <v>7any['结构']</v>
      </c>
      <c r="D385" s="4" t="s">
        <v>528</v>
      </c>
      <c r="E385" s="5" t="s">
        <v>5</v>
      </c>
      <c r="F385" s="56" t="s">
        <v>135</v>
      </c>
      <c r="G385" s="5" t="s">
        <v>1</v>
      </c>
      <c r="H385" s="80">
        <v>1</v>
      </c>
      <c r="I385" s="7" t="b">
        <v>1</v>
      </c>
      <c r="J385" s="37" t="s">
        <v>267</v>
      </c>
      <c r="L385" s="48">
        <f>L382</f>
        <v>99</v>
      </c>
      <c r="M385" s="63" t="s">
        <v>359</v>
      </c>
      <c r="N385" s="61" t="s">
        <v>529</v>
      </c>
      <c r="R385" s="62" t="s">
        <v>531</v>
      </c>
    </row>
    <row r="386" spans="1:18">
      <c r="A386" s="3" cm="1">
        <f t="array" aca="1" ref="A386" ca="1">INDIRECT("A"&amp;ROW()-1)</f>
        <v>210</v>
      </c>
      <c r="B386" s="3" t="s">
        <v>901</v>
      </c>
      <c r="F386" s="55" t="str">
        <f>F385</f>
        <v>FALSE</v>
      </c>
      <c r="G386" s="5" t="s">
        <v>2</v>
      </c>
      <c r="H386" s="80">
        <v>2</v>
      </c>
      <c r="I386" s="7" t="b">
        <v>0</v>
      </c>
      <c r="J386" s="86" t="s">
        <v>567</v>
      </c>
      <c r="K386" s="61" t="s">
        <v>530</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524</v>
      </c>
    </row>
    <row r="388" spans="1:18" ht="31.2">
      <c r="A388" s="3" cm="1">
        <f t="array" aca="1" ref="A388" ca="1">INDIRECT("A"&amp;ROW()-1)+1</f>
        <v>212</v>
      </c>
      <c r="B388" s="3">
        <v>210</v>
      </c>
      <c r="C388" s="3" t="str">
        <f ca="1">A12&amp;"any['硬件']"</f>
        <v>7any['硬件']</v>
      </c>
      <c r="D388" s="4" t="s">
        <v>532</v>
      </c>
      <c r="E388" s="5" t="s">
        <v>5</v>
      </c>
      <c r="F388" s="56" t="s">
        <v>135</v>
      </c>
      <c r="G388" s="5" t="s">
        <v>1</v>
      </c>
      <c r="H388" s="80">
        <v>1</v>
      </c>
      <c r="I388" s="7" t="b">
        <v>1</v>
      </c>
      <c r="J388" s="37" t="s">
        <v>267</v>
      </c>
      <c r="L388" s="48">
        <f>L382</f>
        <v>99</v>
      </c>
      <c r="M388" s="63" t="s">
        <v>369</v>
      </c>
      <c r="N388" s="61" t="s">
        <v>533</v>
      </c>
      <c r="R388" s="62" t="s">
        <v>535</v>
      </c>
    </row>
    <row r="389" spans="1:18">
      <c r="A389" s="3" cm="1">
        <f t="array" aca="1" ref="A389" ca="1">INDIRECT("A"&amp;ROW()-1)</f>
        <v>212</v>
      </c>
      <c r="B389" s="3" t="s">
        <v>901</v>
      </c>
      <c r="F389" s="55" t="str">
        <f>F388</f>
        <v>FALSE</v>
      </c>
      <c r="G389" s="5" t="s">
        <v>2</v>
      </c>
      <c r="H389" s="80">
        <v>2</v>
      </c>
      <c r="I389" s="7" t="b">
        <v>0</v>
      </c>
      <c r="J389" s="86" t="s">
        <v>567</v>
      </c>
      <c r="K389" s="61" t="s">
        <v>534</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525</v>
      </c>
    </row>
    <row r="391" spans="1:18" ht="31.2">
      <c r="A391" s="3" cm="1">
        <f t="array" aca="1" ref="A391" ca="1">INDIRECT("A"&amp;ROW()-1)+1</f>
        <v>214</v>
      </c>
      <c r="B391" s="3">
        <v>212</v>
      </c>
      <c r="C391" s="3" t="str">
        <f ca="1">A12&amp;"any['软件']"</f>
        <v>7any['软件']</v>
      </c>
      <c r="D391" s="4" t="s">
        <v>536</v>
      </c>
      <c r="E391" s="5" t="s">
        <v>5</v>
      </c>
      <c r="F391" s="56" t="s">
        <v>135</v>
      </c>
      <c r="G391" s="5" t="s">
        <v>1</v>
      </c>
      <c r="H391" s="80">
        <v>1</v>
      </c>
      <c r="I391" s="7" t="b">
        <v>1</v>
      </c>
      <c r="J391" s="37" t="s">
        <v>267</v>
      </c>
      <c r="L391" s="48">
        <f>L382</f>
        <v>99</v>
      </c>
      <c r="M391" s="63" t="s">
        <v>370</v>
      </c>
      <c r="N391" s="61" t="s">
        <v>537</v>
      </c>
      <c r="R391" s="62" t="s">
        <v>539</v>
      </c>
    </row>
    <row r="392" spans="1:18">
      <c r="A392" s="3" cm="1">
        <f t="array" aca="1" ref="A392" ca="1">INDIRECT("A"&amp;ROW()-1)</f>
        <v>214</v>
      </c>
      <c r="B392" s="3" t="s">
        <v>901</v>
      </c>
      <c r="F392" s="55" t="str">
        <f>F391</f>
        <v>FALSE</v>
      </c>
      <c r="G392" s="5" t="s">
        <v>2</v>
      </c>
      <c r="H392" s="80">
        <v>2</v>
      </c>
      <c r="I392" s="7" t="b">
        <v>0</v>
      </c>
      <c r="J392" s="86" t="s">
        <v>567</v>
      </c>
      <c r="K392" s="61" t="s">
        <v>538</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526</v>
      </c>
    </row>
    <row r="394" spans="1:18" ht="31.2">
      <c r="A394" s="3" cm="1">
        <f t="array" aca="1" ref="A394" ca="1">INDIRECT("A"&amp;ROW()-1)+1</f>
        <v>216</v>
      </c>
      <c r="B394" s="3">
        <v>214</v>
      </c>
      <c r="C394" s="76" t="str">
        <f>A2&amp;"!=代工"</f>
        <v>1!=代工</v>
      </c>
      <c r="D394" s="4" t="s">
        <v>540</v>
      </c>
      <c r="E394" s="5" t="s">
        <v>5</v>
      </c>
      <c r="F394" s="56" t="s">
        <v>135</v>
      </c>
      <c r="G394" s="5" t="s">
        <v>1</v>
      </c>
      <c r="H394" s="80">
        <v>1</v>
      </c>
      <c r="I394" s="7" t="b">
        <v>1</v>
      </c>
      <c r="J394" s="37" t="s">
        <v>267</v>
      </c>
      <c r="L394" s="48">
        <f>L382</f>
        <v>99</v>
      </c>
      <c r="M394" s="63" t="s">
        <v>371</v>
      </c>
      <c r="N394" s="61" t="s">
        <v>541</v>
      </c>
      <c r="R394" s="62" t="s">
        <v>543</v>
      </c>
    </row>
    <row r="395" spans="1:18">
      <c r="A395" s="3" cm="1">
        <f t="array" aca="1" ref="A395" ca="1">INDIRECT("A"&amp;ROW()-1)</f>
        <v>216</v>
      </c>
      <c r="B395" s="3" t="s">
        <v>901</v>
      </c>
      <c r="F395" s="55" t="str">
        <f>F394</f>
        <v>FALSE</v>
      </c>
      <c r="G395" s="5" t="s">
        <v>2</v>
      </c>
      <c r="H395" s="80">
        <v>2</v>
      </c>
      <c r="I395" s="7" t="b">
        <v>0</v>
      </c>
      <c r="J395" s="86" t="s">
        <v>567</v>
      </c>
      <c r="K395" s="61" t="s">
        <v>542</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527</v>
      </c>
    </row>
  </sheetData>
  <phoneticPr fontId="40"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4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2026-01-22T03:15:32Z</dcterms:modified>
</cp:coreProperties>
</file>